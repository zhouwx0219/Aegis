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8.xml" ContentType="application/vnd.openxmlformats-officedocument.drawingml.chart+xml"/>
  <Override PartName="/xl/drawings/charts/chart9.xml" ContentType="application/vnd.openxmlformats-officedocument.drawingml.chart+xml"/>
  <Override PartName="/xl/drawings/charts/chart10.xml" ContentType="application/vnd.openxmlformats-officedocument.drawingml.chart+xml"/>
  <Override PartName="/xl/drawings/charts/chart11.xml" ContentType="application/vnd.openxmlformats-officedocument.drawingml.chart+xml"/>
  <Override PartName="/xl/drawings/charts/chart12.xml" ContentType="application/vnd.openxmlformats-officedocument.drawingml.chart+xml"/>
  <Override PartName="/xl/drawings/charts/chart13.xml" ContentType="application/vnd.openxmlformats-officedocument.drawingml.chart+xml"/>
  <Override PartName="/xl/drawings/charts/chart14.xml" ContentType="application/vnd.openxmlformats-officedocument.drawingml.char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drawings/charts/chart15.xml" ContentType="application/vnd.openxmlformats-officedocument.drawingml.chart+xml"/>
  <Override PartName="/xl/drawings/charts/chart16.xml" ContentType="application/vnd.openxmlformats-officedocument.drawingml.chart+xml"/>
  <Override PartName="/xl/drawings/charts/chart17.xml" ContentType="application/vnd.openxmlformats-officedocument.drawingml.chart+xml"/>
  <Override PartName="/xl/drawings/charts/chart18.xml" ContentType="application/vnd.openxmlformats-officedocument.drawingml.chart+xml"/>
  <Override PartName="/xl/drawings/charts/chart19.xml" ContentType="application/vnd.openxmlformats-officedocument.drawingml.chart+xml"/>
  <Override PartName="/xl/drawings/charts/chart20.xml" ContentType="application/vnd.openxmlformats-officedocument.drawingml.chart+xml"/>
  <Override PartName="/xl/drawings/charts/chart21.xml" ContentType="application/vnd.openxmlformats-officedocument.drawingml.char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drawings/charts/chart22.xml" ContentType="application/vnd.openxmlformats-officedocument.drawingml.chart+xml"/>
  <Override PartName="/xl/drawings/charts/chart23.xml" ContentType="application/vnd.openxmlformats-officedocument.drawingml.chart+xml"/>
  <Override PartName="/xl/drawings/charts/chart24.xml" ContentType="application/vnd.openxmlformats-officedocument.drawingml.chart+xml"/>
  <Override PartName="/xl/drawings/charts/chart25.xml" ContentType="application/vnd.openxmlformats-officedocument.drawingml.chart+xml"/>
  <Override PartName="/xl/drawings/charts/chart26.xml" ContentType="application/vnd.openxmlformats-officedocument.drawingml.chart+xml"/>
  <Override PartName="/xl/drawings/charts/chart27.xml" ContentType="application/vnd.openxmlformats-officedocument.drawingml.chart+xml"/>
  <Override PartName="/xl/drawings/charts/chart28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2b6e7c7e9749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db672239de0b45e3"/>
    <x:sheet xmlns:r="http://schemas.openxmlformats.org/officeDocument/2006/relationships" name="Curve Data" sheetId="2" r:id="R6058495ae4ac473f"/>
    <x:sheet xmlns:r="http://schemas.openxmlformats.org/officeDocument/2006/relationships" name="Claim Check" sheetId="3" r:id="R73d8fe0d320649f1"/>
    <x:sheet xmlns:r="http://schemas.openxmlformats.org/officeDocument/2006/relationships" name="YCSB Agent 1.0" sheetId="4" r:id="Rfb95727f3d5b4bd0"/>
    <x:sheet xmlns:r="http://schemas.openxmlformats.org/officeDocument/2006/relationships" name="YCSB Agent 0.8" sheetId="5" r:id="R930f9094526a4c58"/>
    <x:sheet xmlns:r="http://schemas.openxmlformats.org/officeDocument/2006/relationships" name="TPC-C Agent 1.0" sheetId="6" r:id="R6de0b15fc0ca4ec3"/>
    <x:sheet xmlns:r="http://schemas.openxmlformats.org/officeDocument/2006/relationships" name="TPC-C Agent 0.8" sheetId="7" r:id="R8f736555ac0c43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"/>
    <x:numFmt numFmtId="201" formatCode="0.00"/>
    <x:numFmt numFmtId="202" formatCode="0.0%"/>
    <x:numFmt numFmtId="203" formatCode="0.00x"/>
    <x:numFmt numFmtId="204" formatCode="0.0000%"/>
    <x:numFmt numFmtId="205" formatCode="0"/>
    <x:numFmt numFmtId="206" formatCode="#,##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9"/>
      <x:color rgb="FFFFFFFF"/>
      <x:name val="Carlito"/>
    </x:font>
    <x:font>
      <x:sz val="9"/>
      <x:name val="Carlito"/>
    </x:font>
    <x:font>
      <x:b/>
      <x:sz val="16"/>
      <x:color rgb="FFFFFFFF"/>
      <x:name val="Carlito"/>
    </x:font>
    <x:font>
      <x:sz val="10"/>
      <x:color rgb="FF26323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47D73"/>
      </x:patternFill>
    </x:fill>
    <x:fill>
      <x:patternFill patternType="solid">
        <x:fgColor rgb="FF18324A"/>
      </x:patternFill>
    </x:fill>
    <x:fill>
      <x:patternFill patternType="solid">
        <x:fgColor rgb="FFE7F0FA"/>
      </x:patternFill>
    </x:fill>
  </x:fills>
  <x:borders count="13">
    <x:border/>
    <x:border>
      <x:right style="thin">
        <x:color rgb="FFCBD3DA"/>
      </x:right>
    </x:border>
    <x:border>
      <x:left style="thin">
        <x:color rgb="FFCBD3DA"/>
      </x:left>
      <x:right style="thin">
        <x:color rgb="FFCBD3DA"/>
      </x:right>
    </x:border>
    <x:border>
      <x:left style="thin">
        <x:color rgb="FFCBD3DA"/>
      </x:left>
    </x:border>
    <x:border>
      <x:right style="thin">
        <x:color rgb="FFCBD3DA"/>
      </x:right>
      <x:bottom style="thin">
        <x:color rgb="FFE4E8EB"/>
      </x:bottom>
    </x:border>
    <x:border>
      <x:left style="thin">
        <x:color rgb="FFCBD3DA"/>
      </x:left>
      <x:right style="thin">
        <x:color rgb="FFCBD3DA"/>
      </x:right>
      <x:bottom style="thin">
        <x:color rgb="FFE4E8EB"/>
      </x:bottom>
    </x:border>
    <x:border>
      <x:top style="thin">
        <x:color rgb="FFE4E8EB"/>
      </x:top>
      <x:bottom style="thin">
        <x:color rgb="FFE4E8EB"/>
      </x:bottom>
    </x:border>
    <x:border>
      <x:right style="thin">
        <x:color rgb="FFCBD3DA"/>
      </x:right>
      <x:top style="thin">
        <x:color rgb="FFE4E8EB"/>
      </x:top>
      <x:bottom style="thin">
        <x:color rgb="FFE4E8EB"/>
      </x:bottom>
    </x:border>
    <x:border>
      <x:top style="thin">
        <x:color rgb="FFE4E8EB"/>
      </x:top>
    </x:border>
    <x:border>
      <x:right style="thin">
        <x:color rgb="FFCBD3DA"/>
      </x:right>
      <x:top style="thin">
        <x:color rgb="FFE4E8EB"/>
      </x:top>
    </x:border>
    <x:border>
      <x:bottom style="thin">
        <x:color rgb="FFCBD3DA"/>
      </x:bottom>
    </x:border>
    <x:border>
      <x:top style="thin">
        <x:color rgb="FFCBD3DA"/>
      </x:top>
      <x:bottom style="thin">
        <x:color rgb="FFCBD3DA"/>
      </x:bottom>
    </x:border>
    <x:border>
      <x:top style="thin">
        <x:color rgb="FFCBD3DA"/>
      </x:top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4" xfId="0" applyNumberFormat="1" applyFont="1" applyFill="1" applyBorder="1" applyAlignment="1">
      <x:alignment vertical="center" wrapText="1"/>
    </x:xf>
    <x:xf numFmtId="0" fontId="1" fillId="2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1" fontId="0" fillId="0" borderId="6" xfId="0" applyNumberFormat="1" applyFont="1" applyFill="1" applyBorder="1"/>
    <x:xf numFmtId="201" fontId="0" fillId="0" borderId="8" xfId="0" applyNumberFormat="1" applyFont="1" applyFill="1" applyBorder="1"/>
    <x:xf numFmtId="202" fontId="0" fillId="0" borderId="6" xfId="0" applyNumberFormat="1" applyFont="1" applyFill="1" applyBorder="1"/>
    <x:xf numFmtId="202" fontId="0" fillId="0" borderId="8" xfId="0" applyNumberFormat="1" applyFont="1" applyFill="1" applyBorder="1"/>
    <x:xf numFmtId="203" fontId="0" fillId="0" borderId="6" xfId="0" applyNumberFormat="1" applyFont="1" applyFill="1" applyBorder="1"/>
    <x:xf numFmtId="203" fontId="0" fillId="0" borderId="8" xfId="0" applyNumberFormat="1" applyFont="1" applyFill="1" applyBorder="1"/>
    <x:xf numFmtId="204" fontId="0" fillId="0" borderId="6" xfId="0" applyNumberFormat="1" applyFont="1" applyFill="1" applyBorder="1"/>
    <x:xf numFmtId="204" fontId="0" fillId="0" borderId="8" xfId="0" applyNumberFormat="1" applyFont="1" applyFill="1" applyBorder="1"/>
    <x:xf numFmtId="0" fontId="2" fillId="2" borderId="4" xfId="0" applyNumberFormat="1" applyFont="1" applyFill="1" applyBorder="1" applyAlignment="1">
      <x:alignment vertical="center" wrapText="1"/>
    </x:xf>
    <x:xf numFmtId="0" fontId="2" fillId="2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/>
    <x:xf numFmtId="200" fontId="3" fillId="0" borderId="6" xfId="0" applyNumberFormat="1" applyFont="1" applyFill="1" applyBorder="1"/>
    <x:xf numFmtId="201" fontId="3" fillId="0" borderId="6" xfId="0" applyNumberFormat="1" applyFont="1" applyFill="1" applyBorder="1"/>
    <x:xf numFmtId="202" fontId="3" fillId="0" borderId="6" xfId="0" applyNumberFormat="1" applyFont="1" applyFill="1" applyBorder="1"/>
    <x:xf numFmtId="203" fontId="3" fillId="0" borderId="6" xfId="0" applyNumberFormat="1" applyFont="1" applyFill="1" applyBorder="1"/>
    <x:xf numFmtId="204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200" fontId="3" fillId="0" borderId="8" xfId="0" applyNumberFormat="1" applyFont="1" applyFill="1" applyBorder="1"/>
    <x:xf numFmtId="201" fontId="3" fillId="0" borderId="8" xfId="0" applyNumberFormat="1" applyFont="1" applyFill="1" applyBorder="1"/>
    <x:xf numFmtId="202" fontId="3" fillId="0" borderId="8" xfId="0" applyNumberFormat="1" applyFont="1" applyFill="1" applyBorder="1"/>
    <x:xf numFmtId="203" fontId="3" fillId="0" borderId="8" xfId="0" applyNumberFormat="1" applyFont="1" applyFill="1" applyBorder="1"/>
    <x:xf numFmtId="204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7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3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10" xfId="0" applyNumberFormat="1" applyFont="1" applyFill="1" applyBorder="1"/>
    <x:xf numFmtId="200" fontId="0" fillId="0" borderId="10" xfId="0" applyNumberFormat="1" applyFont="1" applyFill="1" applyBorder="1"/>
    <x:xf numFmtId="203" fontId="0" fillId="0" borderId="10" xfId="0" applyNumberFormat="1" applyFont="1" applyFill="1" applyBorder="1"/>
    <x:xf numFmtId="202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3" fontId="0" fillId="0" borderId="11" xfId="0" applyNumberFormat="1" applyFont="1" applyFill="1" applyBorder="1"/>
    <x:xf numFmtId="202" fontId="0" fillId="0" borderId="11" xfId="0" applyNumberFormat="1" applyFont="1" applyFill="1" applyBorder="1"/>
    <x:xf numFmtId="0" fontId="0" fillId="0" borderId="12" xfId="0" applyNumberFormat="1" applyFont="1" applyFill="1" applyBorder="1"/>
    <x:xf numFmtId="200" fontId="0" fillId="0" borderId="12" xfId="0" applyNumberFormat="1" applyFont="1" applyFill="1" applyBorder="1"/>
    <x:xf numFmtId="203" fontId="0" fillId="0" borderId="12" xfId="0" applyNumberFormat="1" applyFont="1" applyFill="1" applyBorder="1"/>
    <x:xf numFmtId="202" fontId="0" fillId="0" borderId="12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200" fontId="0" fillId="0" borderId="10" xfId="0" applyNumberFormat="1" applyFont="1" applyFill="1" applyBorder="1" applyAlignment="1">
      <x:alignment wrapText="1"/>
    </x:xf>
    <x:xf numFmtId="203" fontId="0" fillId="0" borderId="10" xfId="0" applyNumberFormat="1" applyFont="1" applyFill="1" applyBorder="1" applyAlignment="1">
      <x:alignment wrapText="1"/>
    </x:xf>
    <x:xf numFmtId="202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200" fontId="0" fillId="0" borderId="11" xfId="0" applyNumberFormat="1" applyFont="1" applyFill="1" applyBorder="1" applyAlignment="1">
      <x:alignment wrapText="1"/>
    </x:xf>
    <x:xf numFmtId="203" fontId="0" fillId="0" borderId="11" xfId="0" applyNumberFormat="1" applyFont="1" applyFill="1" applyBorder="1" applyAlignment="1">
      <x:alignment wrapText="1"/>
    </x:xf>
    <x:xf numFmtId="202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200" fontId="0" fillId="0" borderId="12" xfId="0" applyNumberFormat="1" applyFont="1" applyFill="1" applyBorder="1" applyAlignment="1">
      <x:alignment wrapText="1"/>
    </x:xf>
    <x:xf numFmtId="203" fontId="0" fillId="0" borderId="12" xfId="0" applyNumberFormat="1" applyFont="1" applyFill="1" applyBorder="1" applyAlignment="1">
      <x:alignment wrapText="1"/>
    </x:xf>
    <x:xf numFmtId="202" fontId="0" fillId="0" borderId="12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top" wrapText="1"/>
    </x:xf>
    <x:xf numFmtId="200" fontId="0" fillId="0" borderId="10" xfId="0" applyNumberFormat="1" applyFont="1" applyFill="1" applyBorder="1" applyAlignment="1">
      <x:alignment vertical="top" wrapText="1"/>
    </x:xf>
    <x:xf numFmtId="203" fontId="0" fillId="0" borderId="10" xfId="0" applyNumberFormat="1" applyFont="1" applyFill="1" applyBorder="1" applyAlignment="1">
      <x:alignment vertical="top" wrapText="1"/>
    </x:xf>
    <x:xf numFmtId="202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200" fontId="0" fillId="0" borderId="11" xfId="0" applyNumberFormat="1" applyFont="1" applyFill="1" applyBorder="1" applyAlignment="1">
      <x:alignment vertical="top" wrapText="1"/>
    </x:xf>
    <x:xf numFmtId="203" fontId="0" fillId="0" borderId="11" xfId="0" applyNumberFormat="1" applyFont="1" applyFill="1" applyBorder="1" applyAlignment="1">
      <x:alignment vertical="top" wrapText="1"/>
    </x:xf>
    <x:xf numFmtId="202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200" fontId="0" fillId="0" borderId="12" xfId="0" applyNumberFormat="1" applyFont="1" applyFill="1" applyBorder="1" applyAlignment="1">
      <x:alignment vertical="top" wrapText="1"/>
    </x:xf>
    <x:xf numFmtId="203" fontId="0" fillId="0" borderId="12" xfId="0" applyNumberFormat="1" applyFont="1" applyFill="1" applyBorder="1" applyAlignment="1">
      <x:alignment vertical="top" wrapText="1"/>
    </x:xf>
    <x:xf numFmtId="202" fontId="0" fillId="0" borderId="12" xfId="0" applyNumberFormat="1" applyFont="1" applyFill="1" applyBorder="1" applyAlignment="1">
      <x:alignment vertical="top" wrapText="1"/>
    </x:xf>
    <x:xf numFmtId="200" fontId="0" fillId="0" borderId="7" xfId="0" applyNumberFormat="1" applyFont="1" applyFill="1" applyBorder="1"/>
    <x:xf numFmtId="200" fontId="0" fillId="0" borderId="9" xfId="0" applyNumberFormat="1" applyFont="1" applyFill="1" applyBorder="1"/>
    <x:xf numFmtId="203" fontId="0" fillId="0" borderId="7" xfId="0" applyNumberFormat="1" applyFont="1" applyFill="1" applyBorder="1"/>
    <x:xf numFmtId="203" fontId="0" fillId="0" borderId="9" xfId="0" applyNumberFormat="1" applyFont="1" applyFill="1" applyBorder="1"/>
    <x:xf numFmtId="202" fontId="0" fillId="0" borderId="7" xfId="0" applyNumberFormat="1" applyFont="1" applyFill="1" applyBorder="1"/>
    <x:xf numFmtId="202" fontId="0" fillId="0" borderId="9" xfId="0" applyNumberFormat="1" applyFont="1" applyFill="1" applyBorder="1"/>
    <x:xf numFmtId="205" fontId="0" fillId="0" borderId="0" xfId="0" applyNumberFormat="1" applyFont="1" applyFill="1" applyBorder="1"/>
    <x:xf numFmtId="205" fontId="0" fillId="0" borderId="6" xfId="0" applyNumberFormat="1" applyFont="1" applyFill="1" applyBorder="1"/>
    <x:xf numFmtId="205" fontId="0" fillId="0" borderId="7" xfId="0" applyNumberFormat="1" applyFont="1" applyFill="1" applyBorder="1"/>
    <x:xf numFmtId="205" fontId="0" fillId="0" borderId="8" xfId="0" applyNumberFormat="1" applyFont="1" applyFill="1" applyBorder="1"/>
    <x:xf numFmtId="205" fontId="0" fillId="0" borderId="9" xfId="0" applyNumberFormat="1" applyFont="1" applyFill="1" applyBorder="1"/>
    <x:xf numFmtId="206" fontId="0" fillId="0" borderId="0" xfId="0" applyNumberFormat="1" applyFont="1" applyFill="1" applyBorder="1"/>
    <x:xf numFmtId="206" fontId="0" fillId="0" borderId="6" xfId="0" applyNumberFormat="1" applyFont="1" applyFill="1" applyBorder="1"/>
    <x:xf numFmtId="206" fontId="0" fillId="0" borderId="7" xfId="0" applyNumberFormat="1" applyFont="1" applyFill="1" applyBorder="1"/>
    <x:xf numFmtId="206" fontId="0" fillId="0" borderId="8" xfId="0" applyNumberFormat="1" applyFont="1" applyFill="1" applyBorder="1"/>
    <x:xf numFmtId="206" fontId="0" fillId="0" borderId="9" xfId="0" applyNumberFormat="1" applyFont="1" applyFill="1" applyBorder="1"/>
  </x:cellXfs>
  <x:cellStyles count="1">
    <x:cellStyle name="Normal" xfId="0"/>
  </x:cellStyles>
  <x:dxfs count="3">
    <x:dxf>
      <x:font>
        <x:b/>
        <x:color rgb="FF175C42"/>
      </x:font>
      <x:fill>
        <x:patternFill patternType="solid">
          <x:bgColor rgb="FFDDF3E8"/>
        </x:patternFill>
      </x:fill>
    </x:dxf>
    <x:dxf>
      <x:font>
        <x:b/>
        <x:color rgb="FF8A1C1C"/>
      </x:font>
      <x:fill>
        <x:patternFill patternType="solid">
          <x:bgColor rgb="FFFCE1E1"/>
        </x:patternFill>
      </x:fill>
    </x:dxf>
    <x:dxf>
      <x:font>
        <x:b/>
        <x:color rgb="FF7A5300"/>
      </x:font>
      <x:fill>
        <x:patternFill patternType="solid">
          <x:bgColor rgb="FFFFF1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256cece8db402f" /><Relationship Type="http://schemas.openxmlformats.org/officeDocument/2006/relationships/theme" Target="/xl/theme/theme1.xml" Id="R365b7ead6d20488a" /><Relationship Type="http://schemas.openxmlformats.org/officeDocument/2006/relationships/sharedStrings" Target="/xl/sharedStrings.xml" Id="Rec2986e562d1455a" /><Relationship Type="http://schemas.openxmlformats.org/officeDocument/2006/relationships/worksheet" Target="/xl/worksheets/sheet1.xml" Id="Rdb672239de0b45e3" /><Relationship Type="http://schemas.openxmlformats.org/officeDocument/2006/relationships/worksheet" Target="/xl/worksheets/sheet2.xml" Id="R6058495ae4ac473f" /><Relationship Type="http://schemas.openxmlformats.org/officeDocument/2006/relationships/worksheet" Target="/xl/worksheets/sheet3.xml" Id="R73d8fe0d320649f1" /><Relationship Type="http://schemas.openxmlformats.org/officeDocument/2006/relationships/worksheet" Target="/xl/worksheets/sheet4.xml" Id="Rfb95727f3d5b4bd0" /><Relationship Type="http://schemas.openxmlformats.org/officeDocument/2006/relationships/worksheet" Target="/xl/worksheets/sheet5.xml" Id="R930f9094526a4c58" /><Relationship Type="http://schemas.openxmlformats.org/officeDocument/2006/relationships/worksheet" Target="/xl/worksheets/sheet6.xml" Id="R6de0b15fc0ca4ec3" /><Relationship Type="http://schemas.openxmlformats.org/officeDocument/2006/relationships/worksheet" Target="/xl/worksheets/sheet7.xml" Id="R8f736555ac0c43b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b977076e1e54fb0" /><Relationship Type="http://schemas.openxmlformats.org/officeDocument/2006/relationships/chart" Target="/xl/drawings/charts/chart2.xml" Id="Raba0da7489e34a1f" /><Relationship Type="http://schemas.openxmlformats.org/officeDocument/2006/relationships/chart" Target="/xl/drawings/charts/chart3.xml" Id="R8cf55f49ea9e4d5a" /><Relationship Type="http://schemas.openxmlformats.org/officeDocument/2006/relationships/chart" Target="/xl/drawings/charts/chart4.xml" Id="Rff7309157b004c10" /><Relationship Type="http://schemas.openxmlformats.org/officeDocument/2006/relationships/chart" Target="/xl/drawings/charts/chart5.xml" Id="R5454cdbe002f4d34" /><Relationship Type="http://schemas.openxmlformats.org/officeDocument/2006/relationships/chart" Target="/xl/drawings/charts/chart6.xml" Id="R964da0a1b21844fa" /><Relationship Type="http://schemas.openxmlformats.org/officeDocument/2006/relationships/chart" Target="/xl/drawings/charts/chart7.xml" Id="R730893b841134c1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8.xml" Id="R3478b2960a0b49c4" /><Relationship Type="http://schemas.openxmlformats.org/officeDocument/2006/relationships/chart" Target="/xl/drawings/charts/chart9.xml" Id="R1126c6b90d48458e" /><Relationship Type="http://schemas.openxmlformats.org/officeDocument/2006/relationships/chart" Target="/xl/drawings/charts/chart10.xml" Id="Rf92e7e1a3c204a12" /><Relationship Type="http://schemas.openxmlformats.org/officeDocument/2006/relationships/chart" Target="/xl/drawings/charts/chart11.xml" Id="Rebe203ccf22f428b" /><Relationship Type="http://schemas.openxmlformats.org/officeDocument/2006/relationships/chart" Target="/xl/drawings/charts/chart12.xml" Id="Rd84adaa4eac74fe2" /><Relationship Type="http://schemas.openxmlformats.org/officeDocument/2006/relationships/chart" Target="/xl/drawings/charts/chart13.xml" Id="R985c45167cab42a3" /><Relationship Type="http://schemas.openxmlformats.org/officeDocument/2006/relationships/chart" Target="/xl/drawings/charts/chart14.xml" Id="R1c877f1b1cf74b4a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15.xml" Id="Raaeee587272c4ef7" /><Relationship Type="http://schemas.openxmlformats.org/officeDocument/2006/relationships/chart" Target="/xl/drawings/charts/chart16.xml" Id="R47759461f5fd4ad5" /><Relationship Type="http://schemas.openxmlformats.org/officeDocument/2006/relationships/chart" Target="/xl/drawings/charts/chart17.xml" Id="R3ff7954b5d9347cb" /><Relationship Type="http://schemas.openxmlformats.org/officeDocument/2006/relationships/chart" Target="/xl/drawings/charts/chart18.xml" Id="R4c36f9abf2214402" /><Relationship Type="http://schemas.openxmlformats.org/officeDocument/2006/relationships/chart" Target="/xl/drawings/charts/chart19.xml" Id="Rc369b17bb7b6432c" /><Relationship Type="http://schemas.openxmlformats.org/officeDocument/2006/relationships/chart" Target="/xl/drawings/charts/chart20.xml" Id="Raf9df952164c412f" /><Relationship Type="http://schemas.openxmlformats.org/officeDocument/2006/relationships/chart" Target="/xl/drawings/charts/chart21.xml" Id="R0eb16b2d75e64886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22.xml" Id="R77fb949164ae471a" /><Relationship Type="http://schemas.openxmlformats.org/officeDocument/2006/relationships/chart" Target="/xl/drawings/charts/chart23.xml" Id="Rd2668a05d7384dd6" /><Relationship Type="http://schemas.openxmlformats.org/officeDocument/2006/relationships/chart" Target="/xl/drawings/charts/chart24.xml" Id="R84a655cf41144a69" /><Relationship Type="http://schemas.openxmlformats.org/officeDocument/2006/relationships/chart" Target="/xl/drawings/charts/chart25.xml" Id="R4656615ceb954acb" /><Relationship Type="http://schemas.openxmlformats.org/officeDocument/2006/relationships/chart" Target="/xl/drawings/charts/chart26.xml" Id="R1e6b7c975c7544d5" /><Relationship Type="http://schemas.openxmlformats.org/officeDocument/2006/relationships/chart" Target="/xl/drawings/charts/chart27.xml" Id="R7552ca5ee1264d9a" /><Relationship Type="http://schemas.openxmlformats.org/officeDocument/2006/relationships/chart" Target="/xl/drawings/charts/chart28.xml" Id="Rd4cf73aa0d5e4a5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Agent TPS</a:t>
            </a:r>
          </a:p>
        </c:rich>
      </c:tx>
    </c:title>
    <c:plotArea>
      <c:lineChart>
        <c:grouping val="standard"/>
        <c:ser>
          <c:idx val="0"/>
          <c:order val="0"/>
          <c:tx>
            <c:v>YCSB low</c:v>
          </c:tx>
          <c:marker>
            <c:symbol val="none"/>
          </c:marker>
          <c:cat>
            <c:strRef>
              <c:f>'YCSB Agent 1.0'!$A$5:$A$9</c:f>
              <c:strCache>
                <c:ptCount val="0"/>
              </c:strCache>
            </c:strRef>
          </c:cat>
          <c:val>
            <c:numRef>
              <c:f>'YCSB Agent 1.0'!$B$5:$B$9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YCSB medium</c:v>
          </c:tx>
          <c:marker>
            <c:symbol val="none"/>
          </c:marker>
          <c:cat>
            <c:strRef>
              <c:f>'YCSB Agent 1.0'!$A$5:$A$9</c:f>
              <c:strCache>
                <c:ptCount val="0"/>
              </c:strCache>
            </c:strRef>
          </c:cat>
          <c:val>
            <c:numRef>
              <c:f>'YCSB Agent 1.0'!$C$5:$C$9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YCSB high</c:v>
          </c:tx>
          <c:marker>
            <c:symbol val="none"/>
          </c:marker>
          <c:cat>
            <c:strRef>
              <c:f>'YCSB Agent 1.0'!$A$5:$A$9</c:f>
              <c:strCache>
                <c:ptCount val="0"/>
              </c:strCache>
            </c:strRef>
          </c:cat>
          <c:val>
            <c:numRef>
              <c:f>'YCSB Agent 1.0'!$D$5:$D$9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Total TPS</a:t>
            </a:r>
          </a:p>
        </c:rich>
      </c:tx>
    </c:title>
    <c:plotArea>
      <c:lineChart>
        <c:grouping val="standard"/>
        <c:ser>
          <c:idx val="0"/>
          <c:order val="0"/>
          <c:tx>
            <c:v>YCSB low</c:v>
          </c:tx>
          <c:marker>
            <c:symbol val="none"/>
          </c:marker>
          <c:cat>
            <c:strRef>
              <c:f>'YCSB Agent 1.0'!$A$13:$A$17</c:f>
              <c:strCache>
                <c:ptCount val="0"/>
              </c:strCache>
            </c:strRef>
          </c:cat>
          <c:val>
            <c:numRef>
              <c:f>'YCSB Agent 1.0'!$B$13:$B$17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YCSB medium</c:v>
          </c:tx>
          <c:marker>
            <c:symbol val="none"/>
          </c:marker>
          <c:cat>
            <c:strRef>
              <c:f>'YCSB Agent 1.0'!$A$13:$A$17</c:f>
              <c:strCache>
                <c:ptCount val="0"/>
              </c:strCache>
            </c:strRef>
          </c:cat>
          <c:val>
            <c:numRef>
              <c:f>'YCSB Agent 1.0'!$C$13:$C$17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YCSB high</c:v>
          </c:tx>
          <c:marker>
            <c:symbol val="none"/>
          </c:marker>
          <c:cat>
            <c:strRef>
              <c:f>'YCSB Agent 1.0'!$A$13:$A$17</c:f>
              <c:strCache>
                <c:ptCount val="0"/>
              </c:strCache>
            </c:strRef>
          </c:cat>
          <c:val>
            <c:numRef>
              <c:f>'YCSB Agent 1.0'!$D$13:$D$17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Background TPS</a:t>
            </a:r>
          </a:p>
        </c:rich>
      </c:tx>
    </c:title>
    <c:plotArea>
      <c:lineChart>
        <c:grouping val="standard"/>
        <c:ser>
          <c:idx val="0"/>
          <c:order val="0"/>
          <c:tx>
            <c:v>YCSB low</c:v>
          </c:tx>
          <c:marker>
            <c:symbol val="none"/>
          </c:marker>
          <c:cat>
            <c:strRef>
              <c:f>'YCSB Agent 1.0'!$A$21:$A$25</c:f>
              <c:strCache>
                <c:ptCount val="0"/>
              </c:strCache>
            </c:strRef>
          </c:cat>
          <c:val>
            <c:numRef>
              <c:f>'YCSB Agent 1.0'!$B$21:$B$25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YCSB medium</c:v>
          </c:tx>
          <c:marker>
            <c:symbol val="none"/>
          </c:marker>
          <c:cat>
            <c:strRef>
              <c:f>'YCSB Agent 1.0'!$A$21:$A$25</c:f>
              <c:strCache>
                <c:ptCount val="0"/>
              </c:strCache>
            </c:strRef>
          </c:cat>
          <c:val>
            <c:numRef>
              <c:f>'YCSB Agent 1.0'!$C$21:$C$25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YCSB high</c:v>
          </c:tx>
          <c:marker>
            <c:symbol val="none"/>
          </c:marker>
          <c:cat>
            <c:strRef>
              <c:f>'YCSB Agent 1.0'!$A$21:$A$25</c:f>
              <c:strCache>
                <c:ptCount val="0"/>
              </c:strCache>
            </c:strRef>
          </c:cat>
          <c:val>
            <c:numRef>
              <c:f>'YCSB Agent 1.0'!$D$21:$D$25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Agent TPS speedup vs best</a:t>
            </a:r>
          </a:p>
        </c:rich>
      </c:tx>
    </c:title>
    <c:plotArea>
      <c:lineChart>
        <c:grouping val="standard"/>
        <c:ser>
          <c:idx val="0"/>
          <c:order val="0"/>
          <c:tx>
            <c:v>YCSB low</c:v>
          </c:tx>
          <c:marker>
            <c:symbol val="none"/>
          </c:marker>
          <c:cat>
            <c:strRef>
              <c:f>'YCSB Agent 1.0'!$A$29:$A$33</c:f>
              <c:strCache>
                <c:ptCount val="0"/>
              </c:strCache>
            </c:strRef>
          </c:cat>
          <c:val>
            <c:numRef>
              <c:f>'YCSB Agent 1.0'!$B$29:$B$33</c:f>
              <c:numCache>
                <c:formatCode>0.00x</c:formatCode>
                <c:ptCount val="0"/>
              </c:numCache>
            </c:numRef>
          </c:val>
        </c:ser>
        <c:ser>
          <c:idx val="1"/>
          <c:order val="1"/>
          <c:tx>
            <c:v>YCSB medium</c:v>
          </c:tx>
          <c:marker>
            <c:symbol val="none"/>
          </c:marker>
          <c:cat>
            <c:strRef>
              <c:f>'YCSB Agent 1.0'!$A$29:$A$33</c:f>
              <c:strCache>
                <c:ptCount val="0"/>
              </c:strCache>
            </c:strRef>
          </c:cat>
          <c:val>
            <c:numRef>
              <c:f>'YCSB Agent 1.0'!$C$29:$C$33</c:f>
              <c:numCache>
                <c:formatCode>0.00x</c:formatCode>
                <c:ptCount val="0"/>
              </c:numCache>
            </c:numRef>
          </c:val>
        </c:ser>
        <c:ser>
          <c:idx val="2"/>
          <c:order val="2"/>
          <c:tx>
            <c:v>YCSB high</c:v>
          </c:tx>
          <c:marker>
            <c:symbol val="none"/>
          </c:marker>
          <c:cat>
            <c:strRef>
              <c:f>'YCSB Agent 1.0'!$A$29:$A$33</c:f>
              <c:strCache>
                <c:ptCount val="0"/>
              </c:strCache>
            </c:strRef>
          </c:cat>
          <c:val>
            <c:numRef>
              <c:f>'YCSB Agent 1.0'!$D$29:$D$33</c:f>
              <c:numCache>
                <c:formatCode>0.00x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x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Agent attempt abort rate</a:t>
            </a:r>
          </a:p>
        </c:rich>
      </c:tx>
    </c:title>
    <c:plotArea>
      <c:lineChart>
        <c:grouping val="standard"/>
        <c:ser>
          <c:idx val="0"/>
          <c:order val="0"/>
          <c:tx>
            <c:v>YCSB low</c:v>
          </c:tx>
          <c:marker>
            <c:symbol val="none"/>
          </c:marker>
          <c:cat>
            <c:strRef>
              <c:f>'YCSB Agent 1.0'!$A$37:$A$41</c:f>
              <c:strCache>
                <c:ptCount val="0"/>
              </c:strCache>
            </c:strRef>
          </c:cat>
          <c:val>
            <c:numRef>
              <c:f>'YCSB Agent 1.0'!$B$37:$B$41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YCSB medium</c:v>
          </c:tx>
          <c:marker>
            <c:symbol val="none"/>
          </c:marker>
          <c:cat>
            <c:strRef>
              <c:f>'YCSB Agent 1.0'!$A$37:$A$41</c:f>
              <c:strCache>
                <c:ptCount val="0"/>
              </c:strCache>
            </c:strRef>
          </c:cat>
          <c:val>
            <c:numRef>
              <c:f>'YCSB Agent 1.0'!$C$37:$C$41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YCSB high</c:v>
          </c:tx>
          <c:marker>
            <c:symbol val="none"/>
          </c:marker>
          <c:cat>
            <c:strRef>
              <c:f>'YCSB Agent 1.0'!$A$37:$A$41</c:f>
              <c:strCache>
                <c:ptCount val="0"/>
              </c:strCache>
            </c:strRef>
          </c:cat>
          <c:val>
            <c:numRef>
              <c:f>'YCSB Agent 1.0'!$D$37:$D$41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Agent P99 latency (ms)</a:t>
            </a:r>
          </a:p>
        </c:rich>
      </c:tx>
    </c:title>
    <c:plotArea>
      <c:lineChart>
        <c:grouping val="standard"/>
        <c:ser>
          <c:idx val="0"/>
          <c:order val="0"/>
          <c:tx>
            <c:v>YCSB low</c:v>
          </c:tx>
          <c:marker>
            <c:symbol val="none"/>
          </c:marker>
          <c:cat>
            <c:strRef>
              <c:f>'YCSB Agent 1.0'!$A$45:$A$49</c:f>
              <c:strCache>
                <c:ptCount val="0"/>
              </c:strCache>
            </c:strRef>
          </c:cat>
          <c:val>
            <c:numRef>
              <c:f>'YCSB Agent 1.0'!$B$45:$B$49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YCSB medium</c:v>
          </c:tx>
          <c:marker>
            <c:symbol val="none"/>
          </c:marker>
          <c:cat>
            <c:strRef>
              <c:f>'YCSB Agent 1.0'!$A$45:$A$49</c:f>
              <c:strCache>
                <c:ptCount val="0"/>
              </c:strCache>
            </c:strRef>
          </c:cat>
          <c:val>
            <c:numRef>
              <c:f>'YCSB Agent 1.0'!$C$45:$C$49</c:f>
              <c:numCache>
                <c:formatCode>0</c:formatCode>
                <c:ptCount val="0"/>
              </c:numCache>
            </c:numRef>
          </c:val>
        </c:ser>
        <c:ser>
          <c:idx val="2"/>
          <c:order val="2"/>
          <c:tx>
            <c:v>YCSB high</c:v>
          </c:tx>
          <c:marker>
            <c:symbol val="none"/>
          </c:marker>
          <c:cat>
            <c:strRef>
              <c:f>'YCSB Agent 1.0'!$A$45:$A$49</c:f>
              <c:strCache>
                <c:ptCount val="0"/>
              </c:strCache>
            </c:strRef>
          </c:cat>
          <c:val>
            <c:numRef>
              <c:f>'YCSB Agent 1.0'!$D$45:$D$49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Tokens per attempt</a:t>
            </a:r>
          </a:p>
        </c:rich>
      </c:tx>
    </c:title>
    <c:plotArea>
      <c:lineChart>
        <c:grouping val="standard"/>
        <c:ser>
          <c:idx val="0"/>
          <c:order val="0"/>
          <c:tx>
            <c:v>YCSB low</c:v>
          </c:tx>
          <c:marker>
            <c:symbol val="none"/>
          </c:marker>
          <c:cat>
            <c:strRef>
              <c:f>'YCSB Agent 1.0'!$A$53:$A$57</c:f>
              <c:strCache>
                <c:ptCount val="0"/>
              </c:strCache>
            </c:strRef>
          </c:cat>
          <c:val>
            <c:numRef>
              <c:f>'YCSB Agent 1.0'!$B$53:$B$57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YCSB medium</c:v>
          </c:tx>
          <c:marker>
            <c:symbol val="none"/>
          </c:marker>
          <c:cat>
            <c:strRef>
              <c:f>'YCSB Agent 1.0'!$A$53:$A$57</c:f>
              <c:strCache>
                <c:ptCount val="0"/>
              </c:strCache>
            </c:strRef>
          </c:cat>
          <c:val>
            <c:numRef>
              <c:f>'YCSB Agent 1.0'!$C$53:$C$57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YCSB high</c:v>
          </c:tx>
          <c:marker>
            <c:symbol val="none"/>
          </c:marker>
          <c:cat>
            <c:strRef>
              <c:f>'YCSB Agent 1.0'!$A$53:$A$57</c:f>
              <c:strCache>
                <c:ptCount val="0"/>
              </c:strCache>
            </c:strRef>
          </c:cat>
          <c:val>
            <c:numRef>
              <c:f>'YCSB Agent 1.0'!$D$53:$D$57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Agent TPS</a:t>
            </a:r>
          </a:p>
        </c:rich>
      </c:tx>
    </c:title>
    <c:plotArea>
      <c:lineChart>
        <c:grouping val="standard"/>
        <c:ser>
          <c:idx val="0"/>
          <c:order val="0"/>
          <c:tx>
            <c:v>YCSB low</c:v>
          </c:tx>
          <c:marker>
            <c:symbol val="none"/>
          </c:marker>
          <c:cat>
            <c:strRef>
              <c:f>'YCSB Agent 0.8'!$A$5:$A$9</c:f>
              <c:strCache>
                <c:ptCount val="0"/>
              </c:strCache>
            </c:strRef>
          </c:cat>
          <c:val>
            <c:numRef>
              <c:f>'YCSB Agent 0.8'!$B$5:$B$9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YCSB medium</c:v>
          </c:tx>
          <c:marker>
            <c:symbol val="none"/>
          </c:marker>
          <c:cat>
            <c:strRef>
              <c:f>'YCSB Agent 0.8'!$A$5:$A$9</c:f>
              <c:strCache>
                <c:ptCount val="0"/>
              </c:strCache>
            </c:strRef>
          </c:cat>
          <c:val>
            <c:numRef>
              <c:f>'YCSB Agent 0.8'!$C$5:$C$9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YCSB high</c:v>
          </c:tx>
          <c:marker>
            <c:symbol val="none"/>
          </c:marker>
          <c:cat>
            <c:strRef>
              <c:f>'YCSB Agent 0.8'!$A$5:$A$9</c:f>
              <c:strCache>
                <c:ptCount val="0"/>
              </c:strCache>
            </c:strRef>
          </c:cat>
          <c:val>
            <c:numRef>
              <c:f>'YCSB Agent 0.8'!$D$5:$D$9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Total TPS</a:t>
            </a:r>
          </a:p>
        </c:rich>
      </c:tx>
    </c:title>
    <c:plotArea>
      <c:lineChart>
        <c:grouping val="standard"/>
        <c:ser>
          <c:idx val="0"/>
          <c:order val="0"/>
          <c:tx>
            <c:v>YCSB low</c:v>
          </c:tx>
          <c:marker>
            <c:symbol val="none"/>
          </c:marker>
          <c:cat>
            <c:strRef>
              <c:f>'YCSB Agent 0.8'!$A$13:$A$17</c:f>
              <c:strCache>
                <c:ptCount val="0"/>
              </c:strCache>
            </c:strRef>
          </c:cat>
          <c:val>
            <c:numRef>
              <c:f>'YCSB Agent 0.8'!$B$13:$B$17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YCSB medium</c:v>
          </c:tx>
          <c:marker>
            <c:symbol val="none"/>
          </c:marker>
          <c:cat>
            <c:strRef>
              <c:f>'YCSB Agent 0.8'!$A$13:$A$17</c:f>
              <c:strCache>
                <c:ptCount val="0"/>
              </c:strCache>
            </c:strRef>
          </c:cat>
          <c:val>
            <c:numRef>
              <c:f>'YCSB Agent 0.8'!$C$13:$C$17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YCSB high</c:v>
          </c:tx>
          <c:marker>
            <c:symbol val="none"/>
          </c:marker>
          <c:cat>
            <c:strRef>
              <c:f>'YCSB Agent 0.8'!$A$13:$A$17</c:f>
              <c:strCache>
                <c:ptCount val="0"/>
              </c:strCache>
            </c:strRef>
          </c:cat>
          <c:val>
            <c:numRef>
              <c:f>'YCSB Agent 0.8'!$D$13:$D$17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Background TPS</a:t>
            </a:r>
          </a:p>
        </c:rich>
      </c:tx>
    </c:title>
    <c:plotArea>
      <c:lineChart>
        <c:grouping val="standard"/>
        <c:ser>
          <c:idx val="0"/>
          <c:order val="0"/>
          <c:tx>
            <c:v>YCSB low</c:v>
          </c:tx>
          <c:marker>
            <c:symbol val="none"/>
          </c:marker>
          <c:cat>
            <c:strRef>
              <c:f>'YCSB Agent 0.8'!$A$21:$A$25</c:f>
              <c:strCache>
                <c:ptCount val="0"/>
              </c:strCache>
            </c:strRef>
          </c:cat>
          <c:val>
            <c:numRef>
              <c:f>'YCSB Agent 0.8'!$B$21:$B$25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YCSB medium</c:v>
          </c:tx>
          <c:marker>
            <c:symbol val="none"/>
          </c:marker>
          <c:cat>
            <c:strRef>
              <c:f>'YCSB Agent 0.8'!$A$21:$A$25</c:f>
              <c:strCache>
                <c:ptCount val="0"/>
              </c:strCache>
            </c:strRef>
          </c:cat>
          <c:val>
            <c:numRef>
              <c:f>'YCSB Agent 0.8'!$C$21:$C$25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YCSB high</c:v>
          </c:tx>
          <c:marker>
            <c:symbol val="none"/>
          </c:marker>
          <c:cat>
            <c:strRef>
              <c:f>'YCSB Agent 0.8'!$A$21:$A$25</c:f>
              <c:strCache>
                <c:ptCount val="0"/>
              </c:strCache>
            </c:strRef>
          </c:cat>
          <c:val>
            <c:numRef>
              <c:f>'YCSB Agent 0.8'!$D$21:$D$25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Agent TPS speedup vs best</a:t>
            </a:r>
          </a:p>
        </c:rich>
      </c:tx>
    </c:title>
    <c:plotArea>
      <c:lineChart>
        <c:grouping val="standard"/>
        <c:ser>
          <c:idx val="0"/>
          <c:order val="0"/>
          <c:tx>
            <c:v>YCSB low</c:v>
          </c:tx>
          <c:marker>
            <c:symbol val="none"/>
          </c:marker>
          <c:cat>
            <c:strRef>
              <c:f>'YCSB Agent 0.8'!$A$29:$A$33</c:f>
              <c:strCache>
                <c:ptCount val="0"/>
              </c:strCache>
            </c:strRef>
          </c:cat>
          <c:val>
            <c:numRef>
              <c:f>'YCSB Agent 0.8'!$B$29:$B$33</c:f>
              <c:numCache>
                <c:formatCode>0.00x</c:formatCode>
                <c:ptCount val="0"/>
              </c:numCache>
            </c:numRef>
          </c:val>
        </c:ser>
        <c:ser>
          <c:idx val="1"/>
          <c:order val="1"/>
          <c:tx>
            <c:v>YCSB medium</c:v>
          </c:tx>
          <c:marker>
            <c:symbol val="none"/>
          </c:marker>
          <c:cat>
            <c:strRef>
              <c:f>'YCSB Agent 0.8'!$A$29:$A$33</c:f>
              <c:strCache>
                <c:ptCount val="0"/>
              </c:strCache>
            </c:strRef>
          </c:cat>
          <c:val>
            <c:numRef>
              <c:f>'YCSB Agent 0.8'!$C$29:$C$33</c:f>
              <c:numCache>
                <c:formatCode>0.00x</c:formatCode>
                <c:ptCount val="0"/>
              </c:numCache>
            </c:numRef>
          </c:val>
        </c:ser>
        <c:ser>
          <c:idx val="2"/>
          <c:order val="2"/>
          <c:tx>
            <c:v>YCSB high</c:v>
          </c:tx>
          <c:marker>
            <c:symbol val="none"/>
          </c:marker>
          <c:cat>
            <c:strRef>
              <c:f>'YCSB Agent 0.8'!$A$29:$A$33</c:f>
              <c:strCache>
                <c:ptCount val="0"/>
              </c:strCache>
            </c:strRef>
          </c:cat>
          <c:val>
            <c:numRef>
              <c:f>'YCSB Agent 0.8'!$D$29:$D$33</c:f>
              <c:numCache>
                <c:formatCode>0.00x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x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Agent attempt abort rate</a:t>
            </a:r>
          </a:p>
        </c:rich>
      </c:tx>
    </c:title>
    <c:plotArea>
      <c:lineChart>
        <c:grouping val="standard"/>
        <c:ser>
          <c:idx val="0"/>
          <c:order val="0"/>
          <c:tx>
            <c:v>YCSB low</c:v>
          </c:tx>
          <c:marker>
            <c:symbol val="none"/>
          </c:marker>
          <c:cat>
            <c:strRef>
              <c:f>'YCSB Agent 0.8'!$A$37:$A$41</c:f>
              <c:strCache>
                <c:ptCount val="0"/>
              </c:strCache>
            </c:strRef>
          </c:cat>
          <c:val>
            <c:numRef>
              <c:f>'YCSB Agent 0.8'!$B$37:$B$41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YCSB medium</c:v>
          </c:tx>
          <c:marker>
            <c:symbol val="none"/>
          </c:marker>
          <c:cat>
            <c:strRef>
              <c:f>'YCSB Agent 0.8'!$A$37:$A$41</c:f>
              <c:strCache>
                <c:ptCount val="0"/>
              </c:strCache>
            </c:strRef>
          </c:cat>
          <c:val>
            <c:numRef>
              <c:f>'YCSB Agent 0.8'!$C$37:$C$41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YCSB high</c:v>
          </c:tx>
          <c:marker>
            <c:symbol val="none"/>
          </c:marker>
          <c:cat>
            <c:strRef>
              <c:f>'YCSB Agent 0.8'!$A$37:$A$41</c:f>
              <c:strCache>
                <c:ptCount val="0"/>
              </c:strCache>
            </c:strRef>
          </c:cat>
          <c:val>
            <c:numRef>
              <c:f>'YCSB Agent 0.8'!$D$37:$D$41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Agent P99 latency (ms)</a:t>
            </a:r>
          </a:p>
        </c:rich>
      </c:tx>
    </c:title>
    <c:plotArea>
      <c:lineChart>
        <c:grouping val="standard"/>
        <c:ser>
          <c:idx val="0"/>
          <c:order val="0"/>
          <c:tx>
            <c:v>YCSB low</c:v>
          </c:tx>
          <c:marker>
            <c:symbol val="none"/>
          </c:marker>
          <c:cat>
            <c:strRef>
              <c:f>'YCSB Agent 0.8'!$A$45:$A$49</c:f>
              <c:strCache>
                <c:ptCount val="0"/>
              </c:strCache>
            </c:strRef>
          </c:cat>
          <c:val>
            <c:numRef>
              <c:f>'YCSB Agent 0.8'!$B$45:$B$49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YCSB medium</c:v>
          </c:tx>
          <c:marker>
            <c:symbol val="none"/>
          </c:marker>
          <c:cat>
            <c:strRef>
              <c:f>'YCSB Agent 0.8'!$A$45:$A$49</c:f>
              <c:strCache>
                <c:ptCount val="0"/>
              </c:strCache>
            </c:strRef>
          </c:cat>
          <c:val>
            <c:numRef>
              <c:f>'YCSB Agent 0.8'!$C$45:$C$49</c:f>
              <c:numCache>
                <c:formatCode>0</c:formatCode>
                <c:ptCount val="0"/>
              </c:numCache>
            </c:numRef>
          </c:val>
        </c:ser>
        <c:ser>
          <c:idx val="2"/>
          <c:order val="2"/>
          <c:tx>
            <c:v>YCSB high</c:v>
          </c:tx>
          <c:marker>
            <c:symbol val="none"/>
          </c:marker>
          <c:cat>
            <c:strRef>
              <c:f>'YCSB Agent 0.8'!$A$45:$A$49</c:f>
              <c:strCache>
                <c:ptCount val="0"/>
              </c:strCache>
            </c:strRef>
          </c:cat>
          <c:val>
            <c:numRef>
              <c:f>'YCSB Agent 0.8'!$D$45:$D$49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Tokens per attempt</a:t>
            </a:r>
          </a:p>
        </c:rich>
      </c:tx>
    </c:title>
    <c:plotArea>
      <c:lineChart>
        <c:grouping val="standard"/>
        <c:ser>
          <c:idx val="0"/>
          <c:order val="0"/>
          <c:tx>
            <c:v>YCSB low</c:v>
          </c:tx>
          <c:marker>
            <c:symbol val="none"/>
          </c:marker>
          <c:cat>
            <c:strRef>
              <c:f>'YCSB Agent 0.8'!$A$53:$A$57</c:f>
              <c:strCache>
                <c:ptCount val="0"/>
              </c:strCache>
            </c:strRef>
          </c:cat>
          <c:val>
            <c:numRef>
              <c:f>'YCSB Agent 0.8'!$B$53:$B$57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YCSB medium</c:v>
          </c:tx>
          <c:marker>
            <c:symbol val="none"/>
          </c:marker>
          <c:cat>
            <c:strRef>
              <c:f>'YCSB Agent 0.8'!$A$53:$A$57</c:f>
              <c:strCache>
                <c:ptCount val="0"/>
              </c:strCache>
            </c:strRef>
          </c:cat>
          <c:val>
            <c:numRef>
              <c:f>'YCSB Agent 0.8'!$C$53:$C$57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YCSB high</c:v>
          </c:tx>
          <c:marker>
            <c:symbol val="none"/>
          </c:marker>
          <c:cat>
            <c:strRef>
              <c:f>'YCSB Agent 0.8'!$A$53:$A$57</c:f>
              <c:strCache>
                <c:ptCount val="0"/>
              </c:strCache>
            </c:strRef>
          </c:cat>
          <c:val>
            <c:numRef>
              <c:f>'YCSB Agent 0.8'!$D$53:$D$57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Agent TPS</a:t>
            </a:r>
          </a:p>
        </c:rich>
      </c:tx>
    </c:title>
    <c:plotArea>
      <c:lineChart>
        <c:grouping val="standard"/>
        <c:ser>
          <c:idx val="0"/>
          <c:order val="0"/>
          <c:tx>
            <c:v>TPC-C low</c:v>
          </c:tx>
          <c:marker>
            <c:symbol val="none"/>
          </c:marker>
          <c:cat>
            <c:strRef>
              <c:f>'TPC-C Agent 1.0'!$A$5:$A$9</c:f>
              <c:strCache>
                <c:ptCount val="0"/>
              </c:strCache>
            </c:strRef>
          </c:cat>
          <c:val>
            <c:numRef>
              <c:f>'TPC-C Agent 1.0'!$B$5:$B$9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TPC-C high</c:v>
          </c:tx>
          <c:marker>
            <c:symbol val="none"/>
          </c:marker>
          <c:cat>
            <c:strRef>
              <c:f>'TPC-C Agent 1.0'!$A$5:$A$9</c:f>
              <c:strCache>
                <c:ptCount val="0"/>
              </c:strCache>
            </c:strRef>
          </c:cat>
          <c:val>
            <c:numRef>
              <c:f>'TPC-C Agent 1.0'!$C$5:$C$9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Total TPS</a:t>
            </a:r>
          </a:p>
        </c:rich>
      </c:tx>
    </c:title>
    <c:plotArea>
      <c:lineChart>
        <c:grouping val="standard"/>
        <c:ser>
          <c:idx val="0"/>
          <c:order val="0"/>
          <c:tx>
            <c:v>TPC-C low</c:v>
          </c:tx>
          <c:marker>
            <c:symbol val="none"/>
          </c:marker>
          <c:cat>
            <c:strRef>
              <c:f>'TPC-C Agent 1.0'!$A$13:$A$17</c:f>
              <c:strCache>
                <c:ptCount val="0"/>
              </c:strCache>
            </c:strRef>
          </c:cat>
          <c:val>
            <c:numRef>
              <c:f>'TPC-C Agent 1.0'!$B$13:$B$17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TPC-C high</c:v>
          </c:tx>
          <c:marker>
            <c:symbol val="none"/>
          </c:marker>
          <c:cat>
            <c:strRef>
              <c:f>'TPC-C Agent 1.0'!$A$13:$A$17</c:f>
              <c:strCache>
                <c:ptCount val="0"/>
              </c:strCache>
            </c:strRef>
          </c:cat>
          <c:val>
            <c:numRef>
              <c:f>'TPC-C Agent 1.0'!$C$13:$C$17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Background TPS</a:t>
            </a:r>
          </a:p>
        </c:rich>
      </c:tx>
    </c:title>
    <c:plotArea>
      <c:lineChart>
        <c:grouping val="standard"/>
        <c:ser>
          <c:idx val="0"/>
          <c:order val="0"/>
          <c:tx>
            <c:v>TPC-C low</c:v>
          </c:tx>
          <c:marker>
            <c:symbol val="none"/>
          </c:marker>
          <c:cat>
            <c:strRef>
              <c:f>'TPC-C Agent 1.0'!$A$21:$A$25</c:f>
              <c:strCache>
                <c:ptCount val="0"/>
              </c:strCache>
            </c:strRef>
          </c:cat>
          <c:val>
            <c:numRef>
              <c:f>'TPC-C Agent 1.0'!$B$21:$B$25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TPC-C high</c:v>
          </c:tx>
          <c:marker>
            <c:symbol val="none"/>
          </c:marker>
          <c:cat>
            <c:strRef>
              <c:f>'TPC-C Agent 1.0'!$A$21:$A$25</c:f>
              <c:strCache>
                <c:ptCount val="0"/>
              </c:strCache>
            </c:strRef>
          </c:cat>
          <c:val>
            <c:numRef>
              <c:f>'TPC-C Agent 1.0'!$C$21:$C$25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Agent TPS speedup vs best</a:t>
            </a:r>
          </a:p>
        </c:rich>
      </c:tx>
    </c:title>
    <c:plotArea>
      <c:lineChart>
        <c:grouping val="standard"/>
        <c:ser>
          <c:idx val="0"/>
          <c:order val="0"/>
          <c:tx>
            <c:v>TPC-C low</c:v>
          </c:tx>
          <c:marker>
            <c:symbol val="none"/>
          </c:marker>
          <c:cat>
            <c:strRef>
              <c:f>'TPC-C Agent 1.0'!$A$29:$A$33</c:f>
              <c:strCache>
                <c:ptCount val="0"/>
              </c:strCache>
            </c:strRef>
          </c:cat>
          <c:val>
            <c:numRef>
              <c:f>'TPC-C Agent 1.0'!$B$29:$B$33</c:f>
              <c:numCache>
                <c:formatCode>0.00x</c:formatCode>
                <c:ptCount val="0"/>
              </c:numCache>
            </c:numRef>
          </c:val>
        </c:ser>
        <c:ser>
          <c:idx val="1"/>
          <c:order val="1"/>
          <c:tx>
            <c:v>TPC-C high</c:v>
          </c:tx>
          <c:marker>
            <c:symbol val="none"/>
          </c:marker>
          <c:cat>
            <c:strRef>
              <c:f>'TPC-C Agent 1.0'!$A$29:$A$33</c:f>
              <c:strCache>
                <c:ptCount val="0"/>
              </c:strCache>
            </c:strRef>
          </c:cat>
          <c:val>
            <c:numRef>
              <c:f>'TPC-C Agent 1.0'!$C$29:$C$33</c:f>
              <c:numCache>
                <c:formatCode>0.00x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x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Agent attempt abort rate</a:t>
            </a:r>
          </a:p>
        </c:rich>
      </c:tx>
    </c:title>
    <c:plotArea>
      <c:lineChart>
        <c:grouping val="standard"/>
        <c:ser>
          <c:idx val="0"/>
          <c:order val="0"/>
          <c:tx>
            <c:v>TPC-C low</c:v>
          </c:tx>
          <c:marker>
            <c:symbol val="none"/>
          </c:marker>
          <c:cat>
            <c:strRef>
              <c:f>'TPC-C Agent 1.0'!$A$37:$A$41</c:f>
              <c:strCache>
                <c:ptCount val="0"/>
              </c:strCache>
            </c:strRef>
          </c:cat>
          <c:val>
            <c:numRef>
              <c:f>'TPC-C Agent 1.0'!$B$37:$B$41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TPC-C high</c:v>
          </c:tx>
          <c:marker>
            <c:symbol val="none"/>
          </c:marker>
          <c:cat>
            <c:strRef>
              <c:f>'TPC-C Agent 1.0'!$A$37:$A$41</c:f>
              <c:strCache>
                <c:ptCount val="0"/>
              </c:strCache>
            </c:strRef>
          </c:cat>
          <c:val>
            <c:numRef>
              <c:f>'TPC-C Agent 1.0'!$C$37:$C$41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Agent P99 latency (ms)</a:t>
            </a:r>
          </a:p>
        </c:rich>
      </c:tx>
    </c:title>
    <c:plotArea>
      <c:lineChart>
        <c:grouping val="standard"/>
        <c:ser>
          <c:idx val="0"/>
          <c:order val="0"/>
          <c:tx>
            <c:v>TPC-C low</c:v>
          </c:tx>
          <c:marker>
            <c:symbol val="none"/>
          </c:marker>
          <c:cat>
            <c:strRef>
              <c:f>'TPC-C Agent 1.0'!$A$45:$A$49</c:f>
              <c:strCache>
                <c:ptCount val="0"/>
              </c:strCache>
            </c:strRef>
          </c:cat>
          <c:val>
            <c:numRef>
              <c:f>'TPC-C Agent 1.0'!$B$45:$B$49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TPC-C high</c:v>
          </c:tx>
          <c:marker>
            <c:symbol val="none"/>
          </c:marker>
          <c:cat>
            <c:strRef>
              <c:f>'TPC-C Agent 1.0'!$A$45:$A$49</c:f>
              <c:strCache>
                <c:ptCount val="0"/>
              </c:strCache>
            </c:strRef>
          </c:cat>
          <c:val>
            <c:numRef>
              <c:f>'TPC-C Agent 1.0'!$C$45:$C$49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Tokens per attempt</a:t>
            </a:r>
          </a:p>
        </c:rich>
      </c:tx>
    </c:title>
    <c:plotArea>
      <c:lineChart>
        <c:grouping val="standard"/>
        <c:ser>
          <c:idx val="0"/>
          <c:order val="0"/>
          <c:tx>
            <c:v>TPC-C low</c:v>
          </c:tx>
          <c:marker>
            <c:symbol val="none"/>
          </c:marker>
          <c:cat>
            <c:strRef>
              <c:f>'TPC-C Agent 1.0'!$A$53:$A$57</c:f>
              <c:strCache>
                <c:ptCount val="0"/>
              </c:strCache>
            </c:strRef>
          </c:cat>
          <c:val>
            <c:numRef>
              <c:f>'TPC-C Agent 1.0'!$B$53:$B$57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TPC-C high</c:v>
          </c:tx>
          <c:marker>
            <c:symbol val="none"/>
          </c:marker>
          <c:cat>
            <c:strRef>
              <c:f>'TPC-C Agent 1.0'!$A$53:$A$57</c:f>
              <c:strCache>
                <c:ptCount val="0"/>
              </c:strCache>
            </c:strRef>
          </c:cat>
          <c:val>
            <c:numRef>
              <c:f>'TPC-C Agent 1.0'!$C$53:$C$57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Agent TPS</a:t>
            </a:r>
          </a:p>
        </c:rich>
      </c:tx>
    </c:title>
    <c:plotArea>
      <c:lineChart>
        <c:grouping val="standard"/>
        <c:ser>
          <c:idx val="0"/>
          <c:order val="0"/>
          <c:tx>
            <c:v>TPC-C low</c:v>
          </c:tx>
          <c:marker>
            <c:symbol val="none"/>
          </c:marker>
          <c:cat>
            <c:strRef>
              <c:f>'TPC-C Agent 0.8'!$A$5:$A$9</c:f>
              <c:strCache>
                <c:ptCount val="0"/>
              </c:strCache>
            </c:strRef>
          </c:cat>
          <c:val>
            <c:numRef>
              <c:f>'TPC-C Agent 0.8'!$B$5:$B$9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TPC-C high</c:v>
          </c:tx>
          <c:marker>
            <c:symbol val="none"/>
          </c:marker>
          <c:cat>
            <c:strRef>
              <c:f>'TPC-C Agent 0.8'!$A$5:$A$9</c:f>
              <c:strCache>
                <c:ptCount val="0"/>
              </c:strCache>
            </c:strRef>
          </c:cat>
          <c:val>
            <c:numRef>
              <c:f>'TPC-C Agent 0.8'!$C$5:$C$9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Total TPS</a:t>
            </a:r>
          </a:p>
        </c:rich>
      </c:tx>
    </c:title>
    <c:plotArea>
      <c:lineChart>
        <c:grouping val="standard"/>
        <c:ser>
          <c:idx val="0"/>
          <c:order val="0"/>
          <c:tx>
            <c:v>TPC-C low</c:v>
          </c:tx>
          <c:marker>
            <c:symbol val="none"/>
          </c:marker>
          <c:cat>
            <c:strRef>
              <c:f>'TPC-C Agent 0.8'!$A$13:$A$17</c:f>
              <c:strCache>
                <c:ptCount val="0"/>
              </c:strCache>
            </c:strRef>
          </c:cat>
          <c:val>
            <c:numRef>
              <c:f>'TPC-C Agent 0.8'!$B$13:$B$17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TPC-C high</c:v>
          </c:tx>
          <c:marker>
            <c:symbol val="none"/>
          </c:marker>
          <c:cat>
            <c:strRef>
              <c:f>'TPC-C Agent 0.8'!$A$13:$A$17</c:f>
              <c:strCache>
                <c:ptCount val="0"/>
              </c:strCache>
            </c:strRef>
          </c:cat>
          <c:val>
            <c:numRef>
              <c:f>'TPC-C Agent 0.8'!$C$13:$C$17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Background TPS</a:t>
            </a:r>
          </a:p>
        </c:rich>
      </c:tx>
    </c:title>
    <c:plotArea>
      <c:lineChart>
        <c:grouping val="standard"/>
        <c:ser>
          <c:idx val="0"/>
          <c:order val="0"/>
          <c:tx>
            <c:v>TPC-C low</c:v>
          </c:tx>
          <c:marker>
            <c:symbol val="none"/>
          </c:marker>
          <c:cat>
            <c:strRef>
              <c:f>'TPC-C Agent 0.8'!$A$21:$A$25</c:f>
              <c:strCache>
                <c:ptCount val="0"/>
              </c:strCache>
            </c:strRef>
          </c:cat>
          <c:val>
            <c:numRef>
              <c:f>'TPC-C Agent 0.8'!$B$21:$B$25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TPC-C high</c:v>
          </c:tx>
          <c:marker>
            <c:symbol val="none"/>
          </c:marker>
          <c:cat>
            <c:strRef>
              <c:f>'TPC-C Agent 0.8'!$A$21:$A$25</c:f>
              <c:strCache>
                <c:ptCount val="0"/>
              </c:strCache>
            </c:strRef>
          </c:cat>
          <c:val>
            <c:numRef>
              <c:f>'TPC-C Agent 0.8'!$C$21:$C$25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Agent TPS speedup vs best (TPC-C high: 1/5 valid, table only)</a:t>
            </a:r>
          </a:p>
        </c:rich>
      </c:tx>
    </c:title>
    <c:plotArea>
      <c:lineChart>
        <c:grouping val="standard"/>
        <c:ser>
          <c:idx val="0"/>
          <c:order val="0"/>
          <c:tx>
            <c:v>TPC-C low</c:v>
          </c:tx>
          <c:marker>
            <c:symbol val="none"/>
          </c:marker>
          <c:cat>
            <c:strRef>
              <c:f>'TPC-C Agent 0.8'!$A$29:$A$33</c:f>
              <c:strCache>
                <c:ptCount val="0"/>
              </c:strCache>
            </c:strRef>
          </c:cat>
          <c:val>
            <c:numRef>
              <c:f>'TPC-C Agent 0.8'!$B$29:$B$33</c:f>
              <c:numCache>
                <c:formatCode>0.00x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x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Agent attempt abort rate</a:t>
            </a:r>
          </a:p>
        </c:rich>
      </c:tx>
    </c:title>
    <c:plotArea>
      <c:lineChart>
        <c:grouping val="standard"/>
        <c:ser>
          <c:idx val="0"/>
          <c:order val="0"/>
          <c:tx>
            <c:v>TPC-C low</c:v>
          </c:tx>
          <c:marker>
            <c:symbol val="none"/>
          </c:marker>
          <c:cat>
            <c:strRef>
              <c:f>'TPC-C Agent 0.8'!$A$37:$A$41</c:f>
              <c:strCache>
                <c:ptCount val="0"/>
              </c:strCache>
            </c:strRef>
          </c:cat>
          <c:val>
            <c:numRef>
              <c:f>'TPC-C Agent 0.8'!$B$37:$B$41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TPC-C high</c:v>
          </c:tx>
          <c:marker>
            <c:symbol val="none"/>
          </c:marker>
          <c:cat>
            <c:strRef>
              <c:f>'TPC-C Agent 0.8'!$A$37:$A$41</c:f>
              <c:strCache>
                <c:ptCount val="0"/>
              </c:strCache>
            </c:strRef>
          </c:cat>
          <c:val>
            <c:numRef>
              <c:f>'TPC-C Agent 0.8'!$C$37:$C$41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Agent P99 latency (ms)</a:t>
            </a:r>
          </a:p>
        </c:rich>
      </c:tx>
    </c:title>
    <c:plotArea>
      <c:lineChart>
        <c:grouping val="standard"/>
        <c:ser>
          <c:idx val="0"/>
          <c:order val="0"/>
          <c:tx>
            <c:v>TPC-C low</c:v>
          </c:tx>
          <c:marker>
            <c:symbol val="none"/>
          </c:marker>
          <c:cat>
            <c:strRef>
              <c:f>'TPC-C Agent 0.8'!$A$45:$A$49</c:f>
              <c:strCache>
                <c:ptCount val="0"/>
              </c:strCache>
            </c:strRef>
          </c:cat>
          <c:val>
            <c:numRef>
              <c:f>'TPC-C Agent 0.8'!$B$45:$B$49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TPC-C high</c:v>
          </c:tx>
          <c:marker>
            <c:symbol val="none"/>
          </c:marker>
          <c:cat>
            <c:strRef>
              <c:f>'TPC-C Agent 0.8'!$A$45:$A$49</c:f>
              <c:strCache>
                <c:ptCount val="0"/>
              </c:strCache>
            </c:strRef>
          </c:cat>
          <c:val>
            <c:numRef>
              <c:f>'TPC-C Agent 0.8'!$C$45:$C$49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Tokens per attempt</a:t>
            </a:r>
          </a:p>
        </c:rich>
      </c:tx>
    </c:title>
    <c:plotArea>
      <c:lineChart>
        <c:grouping val="standard"/>
        <c:ser>
          <c:idx val="0"/>
          <c:order val="0"/>
          <c:tx>
            <c:v>TPC-C low</c:v>
          </c:tx>
          <c:marker>
            <c:symbol val="none"/>
          </c:marker>
          <c:cat>
            <c:strRef>
              <c:f>'TPC-C Agent 0.8'!$A$53:$A$57</c:f>
              <c:strCache>
                <c:ptCount val="0"/>
              </c:strCache>
            </c:strRef>
          </c:cat>
          <c:val>
            <c:numRef>
              <c:f>'TPC-C Agent 0.8'!$B$53:$B$57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TPC-C high</c:v>
          </c:tx>
          <c:marker>
            <c:symbol val="none"/>
          </c:marker>
          <c:cat>
            <c:strRef>
              <c:f>'TPC-C Agent 0.8'!$A$53:$A$57</c:f>
              <c:strCache>
                <c:ptCount val="0"/>
              </c:strCache>
            </c:strRef>
          </c:cat>
          <c:val>
            <c:numRef>
              <c:f>'TPC-C Agent 0.8'!$C$53:$C$57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b977076e1e54fb0"/>
        </a:graphicData>
      </a:graphic>
    </xdr:graphicFrame>
    <xdr:clientData/>
  </xdr:twoCellAnchor>
  <xdr:twoCellAnchor>
    <xdr:from>
      <xdr:col>14</xdr:col>
      <xdr:colOff>0</xdr:colOff>
      <xdr:row>3</xdr:row>
      <xdr:rowOff>0</xdr:rowOff>
    </xdr:from>
    <xdr:to>
      <xdr:col>23</xdr:col>
      <xdr:colOff>0</xdr:colOff>
      <xdr:row>17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ba0da7489e34a1f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14</xdr:col>
      <xdr:colOff>0</xdr:colOff>
      <xdr:row>33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cf55f49ea9e4d5a"/>
        </a:graphicData>
      </a:graphic>
    </xdr:graphicFrame>
    <xdr:clientData/>
  </xdr:twoCellAnchor>
  <xdr:twoCellAnchor>
    <xdr:from>
      <xdr:col>14</xdr:col>
      <xdr:colOff>0</xdr:colOff>
      <xdr:row>19</xdr:row>
      <xdr:rowOff>0</xdr:rowOff>
    </xdr:from>
    <xdr:to>
      <xdr:col>23</xdr:col>
      <xdr:colOff>0</xdr:colOff>
      <xdr:row>33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f7309157b004c10"/>
        </a:graphicData>
      </a:graphic>
    </xdr:graphicFrame>
    <xdr:clientData/>
  </xdr:twoCellAnchor>
  <xdr:twoCellAnchor>
    <xdr:from>
      <xdr:col>5</xdr:col>
      <xdr:colOff>0</xdr:colOff>
      <xdr:row>35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454cdbe002f4d34"/>
        </a:graphicData>
      </a:graphic>
    </xdr:graphicFrame>
    <xdr:clientData/>
  </xdr:twoCellAnchor>
  <xdr:twoCellAnchor>
    <xdr:from>
      <xdr:col>14</xdr:col>
      <xdr:colOff>0</xdr:colOff>
      <xdr:row>35</xdr:row>
      <xdr:rowOff>0</xdr:rowOff>
    </xdr:from>
    <xdr:to>
      <xdr:col>23</xdr:col>
      <xdr:colOff>0</xdr:colOff>
      <xdr:row>49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64da0a1b21844fa"/>
        </a:graphicData>
      </a:graphic>
    </xdr:graphicFrame>
    <xdr:clientData/>
  </xdr:twoCellAnchor>
  <xdr:twoCellAnchor>
    <xdr:from>
      <xdr:col>5</xdr:col>
      <xdr:colOff>0</xdr:colOff>
      <xdr:row>51</xdr:row>
      <xdr:rowOff>0</xdr:rowOff>
    </xdr:from>
    <xdr:to>
      <xdr:col>14</xdr:col>
      <xdr:colOff>0</xdr:colOff>
      <xdr:row>65</xdr:row>
      <xdr:rowOff>0</xdr:rowOff>
    </xdr:to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30893b841134c1f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478b2960a0b49c4"/>
        </a:graphicData>
      </a:graphic>
    </xdr:graphicFrame>
    <xdr:clientData/>
  </xdr:twoCellAnchor>
  <xdr:twoCellAnchor>
    <xdr:from>
      <xdr:col>14</xdr:col>
      <xdr:colOff>0</xdr:colOff>
      <xdr:row>3</xdr:row>
      <xdr:rowOff>0</xdr:rowOff>
    </xdr:from>
    <xdr:to>
      <xdr:col>23</xdr:col>
      <xdr:colOff>0</xdr:colOff>
      <xdr:row>17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126c6b90d48458e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14</xdr:col>
      <xdr:colOff>0</xdr:colOff>
      <xdr:row>33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92e7e1a3c204a12"/>
        </a:graphicData>
      </a:graphic>
    </xdr:graphicFrame>
    <xdr:clientData/>
  </xdr:twoCellAnchor>
  <xdr:twoCellAnchor>
    <xdr:from>
      <xdr:col>14</xdr:col>
      <xdr:colOff>0</xdr:colOff>
      <xdr:row>19</xdr:row>
      <xdr:rowOff>0</xdr:rowOff>
    </xdr:from>
    <xdr:to>
      <xdr:col>23</xdr:col>
      <xdr:colOff>0</xdr:colOff>
      <xdr:row>33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be203ccf22f428b"/>
        </a:graphicData>
      </a:graphic>
    </xdr:graphicFrame>
    <xdr:clientData/>
  </xdr:twoCellAnchor>
  <xdr:twoCellAnchor>
    <xdr:from>
      <xdr:col>5</xdr:col>
      <xdr:colOff>0</xdr:colOff>
      <xdr:row>35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84adaa4eac74fe2"/>
        </a:graphicData>
      </a:graphic>
    </xdr:graphicFrame>
    <xdr:clientData/>
  </xdr:twoCellAnchor>
  <xdr:twoCellAnchor>
    <xdr:from>
      <xdr:col>14</xdr:col>
      <xdr:colOff>0</xdr:colOff>
      <xdr:row>35</xdr:row>
      <xdr:rowOff>0</xdr:rowOff>
    </xdr:from>
    <xdr:to>
      <xdr:col>23</xdr:col>
      <xdr:colOff>0</xdr:colOff>
      <xdr:row>49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85c45167cab42a3"/>
        </a:graphicData>
      </a:graphic>
    </xdr:graphicFrame>
    <xdr:clientData/>
  </xdr:twoCellAnchor>
  <xdr:twoCellAnchor>
    <xdr:from>
      <xdr:col>5</xdr:col>
      <xdr:colOff>0</xdr:colOff>
      <xdr:row>51</xdr:row>
      <xdr:rowOff>0</xdr:rowOff>
    </xdr:from>
    <xdr:to>
      <xdr:col>14</xdr:col>
      <xdr:colOff>0</xdr:colOff>
      <xdr:row>65</xdr:row>
      <xdr:rowOff>0</xdr:rowOff>
    </xdr:to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c877f1b1cf74b4a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aeee587272c4ef7"/>
        </a:graphicData>
      </a:graphic>
    </xdr:graphicFrame>
    <xdr:clientData/>
  </xdr:twoCellAnchor>
  <xdr:twoCellAnchor>
    <xdr:from>
      <xdr:col>14</xdr:col>
      <xdr:colOff>0</xdr:colOff>
      <xdr:row>3</xdr:row>
      <xdr:rowOff>0</xdr:rowOff>
    </xdr:from>
    <xdr:to>
      <xdr:col>23</xdr:col>
      <xdr:colOff>0</xdr:colOff>
      <xdr:row>17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7759461f5fd4ad5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14</xdr:col>
      <xdr:colOff>0</xdr:colOff>
      <xdr:row>33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ff7954b5d9347cb"/>
        </a:graphicData>
      </a:graphic>
    </xdr:graphicFrame>
    <xdr:clientData/>
  </xdr:twoCellAnchor>
  <xdr:twoCellAnchor>
    <xdr:from>
      <xdr:col>14</xdr:col>
      <xdr:colOff>0</xdr:colOff>
      <xdr:row>19</xdr:row>
      <xdr:rowOff>0</xdr:rowOff>
    </xdr:from>
    <xdr:to>
      <xdr:col>23</xdr:col>
      <xdr:colOff>0</xdr:colOff>
      <xdr:row>33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c36f9abf2214402"/>
        </a:graphicData>
      </a:graphic>
    </xdr:graphicFrame>
    <xdr:clientData/>
  </xdr:twoCellAnchor>
  <xdr:twoCellAnchor>
    <xdr:from>
      <xdr:col>5</xdr:col>
      <xdr:colOff>0</xdr:colOff>
      <xdr:row>35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369b17bb7b6432c"/>
        </a:graphicData>
      </a:graphic>
    </xdr:graphicFrame>
    <xdr:clientData/>
  </xdr:twoCellAnchor>
  <xdr:twoCellAnchor>
    <xdr:from>
      <xdr:col>14</xdr:col>
      <xdr:colOff>0</xdr:colOff>
      <xdr:row>35</xdr:row>
      <xdr:rowOff>0</xdr:rowOff>
    </xdr:from>
    <xdr:to>
      <xdr:col>23</xdr:col>
      <xdr:colOff>0</xdr:colOff>
      <xdr:row>49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f9df952164c412f"/>
        </a:graphicData>
      </a:graphic>
    </xdr:graphicFrame>
    <xdr:clientData/>
  </xdr:twoCellAnchor>
  <xdr:twoCellAnchor>
    <xdr:from>
      <xdr:col>5</xdr:col>
      <xdr:colOff>0</xdr:colOff>
      <xdr:row>51</xdr:row>
      <xdr:rowOff>0</xdr:rowOff>
    </xdr:from>
    <xdr:to>
      <xdr:col>14</xdr:col>
      <xdr:colOff>0</xdr:colOff>
      <xdr:row>65</xdr:row>
      <xdr:rowOff>0</xdr:rowOff>
    </xdr:to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eb16b2d75e6488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7fb949164ae471a"/>
        </a:graphicData>
      </a:graphic>
    </xdr:graphicFrame>
    <xdr:clientData/>
  </xdr:twoCellAnchor>
  <xdr:twoCellAnchor>
    <xdr:from>
      <xdr:col>14</xdr:col>
      <xdr:colOff>0</xdr:colOff>
      <xdr:row>3</xdr:row>
      <xdr:rowOff>0</xdr:rowOff>
    </xdr:from>
    <xdr:to>
      <xdr:col>23</xdr:col>
      <xdr:colOff>0</xdr:colOff>
      <xdr:row>17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2668a05d7384dd6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14</xdr:col>
      <xdr:colOff>0</xdr:colOff>
      <xdr:row>33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4a655cf41144a69"/>
        </a:graphicData>
      </a:graphic>
    </xdr:graphicFrame>
    <xdr:clientData/>
  </xdr:twoCellAnchor>
  <xdr:twoCellAnchor>
    <xdr:from>
      <xdr:col>14</xdr:col>
      <xdr:colOff>0</xdr:colOff>
      <xdr:row>19</xdr:row>
      <xdr:rowOff>0</xdr:rowOff>
    </xdr:from>
    <xdr:to>
      <xdr:col>23</xdr:col>
      <xdr:colOff>0</xdr:colOff>
      <xdr:row>33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656615ceb954acb"/>
        </a:graphicData>
      </a:graphic>
    </xdr:graphicFrame>
    <xdr:clientData/>
  </xdr:twoCellAnchor>
  <xdr:twoCellAnchor>
    <xdr:from>
      <xdr:col>5</xdr:col>
      <xdr:colOff>0</xdr:colOff>
      <xdr:row>35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e6b7c975c7544d5"/>
        </a:graphicData>
      </a:graphic>
    </xdr:graphicFrame>
    <xdr:clientData/>
  </xdr:twoCellAnchor>
  <xdr:twoCellAnchor>
    <xdr:from>
      <xdr:col>14</xdr:col>
      <xdr:colOff>0</xdr:colOff>
      <xdr:row>35</xdr:row>
      <xdr:rowOff>0</xdr:rowOff>
    </xdr:from>
    <xdr:to>
      <xdr:col>23</xdr:col>
      <xdr:colOff>0</xdr:colOff>
      <xdr:row>49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552ca5ee1264d9a"/>
        </a:graphicData>
      </a:graphic>
    </xdr:graphicFrame>
    <xdr:clientData/>
  </xdr:twoCellAnchor>
  <xdr:twoCellAnchor>
    <xdr:from>
      <xdr:col>5</xdr:col>
      <xdr:colOff>0</xdr:colOff>
      <xdr:row>51</xdr:row>
      <xdr:rowOff>0</xdr:rowOff>
    </xdr:from>
    <xdr:to>
      <xdr:col>14</xdr:col>
      <xdr:colOff>0</xdr:colOff>
      <xdr:row>65</xdr:row>
      <xdr:rowOff>0</xdr:rowOff>
    </xdr:to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4cf73aa0d5e4a5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a4069dd85cdc4fe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e579247dc3524cd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3.xml" Id="R1b612125d49040f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4.xml" Id="R249df56c37ae427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1" hidden="0" customWidth="1"/>
    <x:col min="3" max="3" width="22" hidden="0" customWidth="1"/>
    <x:col min="4" max="4" width="3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23" hidden="0" customWidth="1"/>
    <x:col min="19" max="19" width="55" hidden="0" customWidth="1"/>
  </x:cols>
  <x:sheetData>
    <x:row r="1" ht="30" customHeight="1">
      <x:c r="A1" s="48" t="str">
        <x:v>ATCC final matrix assessment</x:v>
      </x:c>
      <x:c r="B1" s="48" t="str">
        <x:v>ATCC final matrix assessment</x:v>
      </x:c>
      <x:c r="C1" s="48" t="str">
        <x:v>ATCC final matrix assessment</x:v>
      </x:c>
      <x:c r="D1" s="48" t="str">
        <x:v>ATCC final matrix assessment</x:v>
      </x:c>
      <x:c r="E1" s="48" t="str">
        <x:v>ATCC final matrix assessment</x:v>
      </x:c>
      <x:c r="F1" s="48" t="str">
        <x:v>ATCC final matrix assessment</x:v>
      </x:c>
      <x:c r="G1" s="48" t="str">
        <x:v>ATCC final matrix assessment</x:v>
      </x:c>
      <x:c r="H1" s="48" t="str">
        <x:v>ATCC final matrix assessment</x:v>
      </x:c>
      <x:c r="I1" s="48" t="str">
        <x:v>ATCC final matrix assessment</x:v>
      </x:c>
      <x:c r="J1" s="48" t="str">
        <x:v>ATCC final matrix assessment</x:v>
      </x:c>
      <x:c r="K1" s="48" t="str">
        <x:v>ATCC final matrix assessment</x:v>
      </x:c>
      <x:c r="L1" s="48" t="str">
        <x:v>ATCC final matrix assessment</x:v>
      </x:c>
      <x:c r="M1" s="48" t="str">
        <x:v>ATCC final matrix assessment</x:v>
      </x:c>
      <x:c r="N1" s="48" t="str">
        <x:v>ATCC final matrix assessment</x:v>
      </x:c>
      <x:c r="O1" s="48" t="str">
        <x:v>ATCC final matrix assessment</x:v>
      </x:c>
      <x:c r="P1" s="48" t="str">
        <x:v>ATCC final matrix assessment</x:v>
      </x:c>
      <x:c r="Q1" s="48" t="str">
        <x:v>ATCC final matrix assessment</x:v>
      </x:c>
      <x:c r="R1" s="48" t="str">
        <x:v>ATCC final matrix assessment</x:v>
      </x:c>
      <x:c r="S1" s="48" t="str">
        <x:v>ATCC final matrix assessment</x:v>
      </x:c>
    </x:row>
    <x:row r="2" ht="32" customHeight="1">
      <x:c r="A2" s="51" t="str">
        <x:v>Final CSV: five workloads x two Agent ratios x five client levels. Speedups use the best available baseline at the same workload, ratio, and client count.</x:v>
      </x:c>
      <x:c r="B2" s="51" t="str">
        <x:v>Final CSV: five workloads x two Agent ratios x five client levels. Speedups use the best available baseline at the same workload, ratio, and client count.</x:v>
      </x:c>
      <x:c r="C2" s="51" t="str">
        <x:v>Final CSV: five workloads x two Agent ratios x five client levels. Speedups use the best available baseline at the same workload, ratio, and client count.</x:v>
      </x:c>
      <x:c r="D2" s="51" t="str">
        <x:v>Final CSV: five workloads x two Agent ratios x five client levels. Speedups use the best available baseline at the same workload, ratio, and client count.</x:v>
      </x:c>
      <x:c r="E2" s="51" t="str">
        <x:v>Final CSV: five workloads x two Agent ratios x five client levels. Speedups use the best available baseline at the same workload, ratio, and client count.</x:v>
      </x:c>
      <x:c r="F2" s="51" t="str">
        <x:v>Final CSV: five workloads x two Agent ratios x five client levels. Speedups use the best available baseline at the same workload, ratio, and client count.</x:v>
      </x:c>
      <x:c r="G2" s="51" t="str">
        <x:v>Final CSV: five workloads x two Agent ratios x five client levels. Speedups use the best available baseline at the same workload, ratio, and client count.</x:v>
      </x:c>
      <x:c r="H2" s="51" t="str">
        <x:v>Final CSV: five workloads x two Agent ratios x five client levels. Speedups use the best available baseline at the same workload, ratio, and client count.</x:v>
      </x:c>
      <x:c r="I2" s="51" t="str">
        <x:v>Final CSV: five workloads x two Agent ratios x five client levels. Speedups use the best available baseline at the same workload, ratio, and client count.</x:v>
      </x:c>
      <x:c r="J2" s="51" t="str">
        <x:v>Final CSV: five workloads x two Agent ratios x five client levels. Speedups use the best available baseline at the same workload, ratio, and client count.</x:v>
      </x:c>
      <x:c r="K2" s="51" t="str">
        <x:v>Final CSV: five workloads x two Agent ratios x five client levels. Speedups use the best available baseline at the same workload, ratio, and client count.</x:v>
      </x:c>
      <x:c r="L2" s="51" t="str">
        <x:v>Final CSV: five workloads x two Agent ratios x five client levels. Speedups use the best available baseline at the same workload, ratio, and client count.</x:v>
      </x:c>
      <x:c r="M2" s="51" t="str">
        <x:v>Final CSV: five workloads x two Agent ratios x five client levels. Speedups use the best available baseline at the same workload, ratio, and client count.</x:v>
      </x:c>
      <x:c r="N2" s="51" t="str">
        <x:v>Final CSV: five workloads x two Agent ratios x five client levels. Speedups use the best available baseline at the same workload, ratio, and client count.</x:v>
      </x:c>
      <x:c r="O2" s="51" t="str">
        <x:v>Final CSV: five workloads x two Agent ratios x five client levels. Speedups use the best available baseline at the same workload, ratio, and client count.</x:v>
      </x:c>
      <x:c r="P2" s="51" t="str">
        <x:v>Final CSV: five workloads x two Agent ratios x five client levels. Speedups use the best available baseline at the same workload, ratio, and client count.</x:v>
      </x:c>
      <x:c r="Q2" s="51" t="str">
        <x:v>Final CSV: five workloads x two Agent ratios x five client levels. Speedups use the best available baseline at the same workload, ratio, and client count.</x:v>
      </x:c>
      <x:c r="R2" s="51" t="str">
        <x:v>Final CSV: five workloads x two Agent ratios x five client levels. Speedups use the best available baseline at the same workload, ratio, and client count.</x:v>
      </x:c>
      <x:c r="S2" s="51" t="str">
        <x:v>Final CSV: five workloads x two Agent ratios x five client levels. Speedups use the best available baseline at the same workload, ratio, and client count.</x:v>
      </x:c>
    </x:row>
    <x:row r="4" ht="32" customHeight="1">
      <x:c r="A4" s="9" t="str">
        <x:v>Workload</x:v>
      </x:c>
      <x:c r="B4" s="10" t="str">
        <x:v>Agent ratio</x:v>
      </x:c>
      <x:c r="C4" s="10" t="str">
        <x:v>Seeds / provenance</x:v>
      </x:c>
      <x:c r="D4" s="10" t="str">
        <x:v>Agent TPS curve (8/16/24/32/40)</x:v>
      </x:c>
      <x:c r="E4" s="10" t="str">
        <x:v>Min Agent speedup</x:v>
      </x:c>
      <x:c r="F4" s="10" t="str">
        <x:v>Max Agent speedup</x:v>
      </x:c>
      <x:c r="G4" s="10" t="str">
        <x:v>Valid / &gt;= baseline</x:v>
      </x:c>
      <x:c r="H4" s="10" t="str">
        <x:v>Min total speedup</x:v>
      </x:c>
      <x:c r="I4" s="10" t="str">
        <x:v>Max total speedup</x:v>
      </x:c>
      <x:c r="J4" s="10" t="str">
        <x:v>Max abort rate</x:v>
      </x:c>
      <x:c r="K4" s="10" t="str">
        <x:v>Min P99 reduction</x:v>
      </x:c>
      <x:c r="L4" s="10" t="str">
        <x:v>Max P99 reduction</x:v>
      </x:c>
      <x:c r="M4" s="10" t="str">
        <x:v>Min token reduction</x:v>
      </x:c>
      <x:c r="N4" s="10" t="str">
        <x:v>Max token reduction</x:v>
      </x:c>
      <x:c r="O4" s="10" t="str">
        <x:v>Max Agent TPS CV</x:v>
      </x:c>
      <x:c r="P4" s="10" t="str">
        <x:v>Agent curve flags</x:v>
      </x:c>
      <x:c r="Q4" s="10" t="str">
        <x:v>Total TPS drops &gt;40%</x:v>
      </x:c>
      <x:c r="R4" s="10" t="str">
        <x:v>Verdict</x:v>
      </x:c>
      <x:c r="S4" s="11" t="str">
        <x:v>Paper-alignment note</x:v>
      </x:c>
    </x:row>
    <x:row r="5" ht="54" customHeight="1">
      <x:c r="A5" s="79" t="str">
        <x:v>YCSB low</x:v>
      </x:c>
      <x:c r="B5" s="80" t="n">
        <x:v>1</x:v>
      </x:c>
      <x:c r="C5" s="79" t="str">
        <x:v>3 seeds each</x:v>
      </x:c>
      <x:c r="D5" s="79" t="str">
        <x:v>70.1 -&gt; 136.7 -&gt; 200.1 -&gt; 253.3 -&gt; 282.7</x:v>
      </x:c>
      <x:c r="E5" s="81" t="n">
        <x:f>IF(COUNT('Curve Data'!L2:L6)=0,"",MIN('Curve Data'!L2:L6))</x:f>
        <x:v>0.979214780602862</x:v>
      </x:c>
      <x:c r="F5" s="81" t="n">
        <x:f>IF(COUNT('Curve Data'!L2:L6)=0,"",MAX('Curve Data'!L2:L6))</x:f>
        <x:v>1</x:v>
      </x:c>
      <x:c r="G5" s="79" t="str">
        <x:f>COUNT('Curve Data'!L2:L6)&amp;" / "&amp;COUNTIF('Curve Data'!L2:L6,"&gt;=1")</x:f>
        <x:v>5 / 1</x:v>
      </x:c>
      <x:c r="H5" s="81" t="n">
        <x:f>IF(COUNT('Curve Data'!P2:P6)=0,"",MIN('Curve Data'!P2:P6))</x:f>
        <x:v>0.979214780602862</x:v>
      </x:c>
      <x:c r="I5" s="81" t="n">
        <x:f>IF(COUNT('Curve Data'!P2:P6)=0,"",MAX('Curve Data'!P2:P6))</x:f>
        <x:v>1</x:v>
      </x:c>
      <x:c r="J5" s="82" t="n">
        <x:f>MAX('Curve Data'!U2:U6)</x:f>
        <x:v>0</x:v>
      </x:c>
      <x:c r="K5" s="82" t="n">
        <x:f>IF(COUNT('Curve Data'!Z2:Z6)=0,"",MIN('Curve Data'!Z2:Z6))</x:f>
        <x:v>-0.03731726625602727</x:v>
      </x:c>
      <x:c r="L5" s="82" t="n">
        <x:f>IF(COUNT('Curve Data'!Z2:Z6)=0,"",MAX('Curve Data'!Z2:Z6))</x:f>
        <x:v>0.0050059437430841625</x:v>
      </x:c>
      <x:c r="M5" s="82" t="n">
        <x:f>IF(COUNT('Curve Data'!AC2:AC6)=0,"",MIN('Curve Data'!AC2:AC6))</x:f>
        <x:v>0</x:v>
      </x:c>
      <x:c r="N5" s="82" t="n">
        <x:f>IF(COUNT('Curve Data'!AC2:AC6)=0,"",MAX('Curve Data'!AC2:AC6))</x:f>
        <x:v>0.0006250001774695813</x:v>
      </x:c>
      <x:c r="O5" s="82" t="n">
        <x:f>MAX('Curve Data'!I2:I6)</x:f>
        <x:v>0.07146343171</x:v>
      </x:c>
      <x:c r="P5" s="79" t="n">
        <x:f>COUNTIF('Curve Data'!AE2:AE6,"drop &gt;10%")+COUNTIF('Curve Data'!AE2:AE6,"jump &gt;50%")</x:f>
        <x:v>0</x:v>
      </x:c>
      <x:c r="Q5" s="79" t="n">
        <x:f>COUNTIF('Curve Data'!AF2:AF6,"&lt;-0.4")</x:f>
        <x:v>0</x:v>
      </x:c>
      <x:c r="R5" s="79" t="str">
        <x:v>Auxiliary only</x:v>
      </x:c>
      <x:c r="S5" s="79" t="str">
        <x:v>Smooth scaling and zero aborts, but 0.98-1.00x means no ATCC throughput gain.</x:v>
      </x:c>
    </x:row>
    <x:row r="6" ht="54" customHeight="1">
      <x:c r="A6" s="83" t="str">
        <x:v>YCSB low</x:v>
      </x:c>
      <x:c r="B6" s="84" t="n">
        <x:v>0.8</x:v>
      </x:c>
      <x:c r="C6" s="83" t="str">
        <x:v>3 seeds each</x:v>
      </x:c>
      <x:c r="D6" s="83" t="str">
        <x:v>52.4 -&gt; 103.3 -&gt; 134.1 -&gt; 162.7 -&gt; 180.4</x:v>
      </x:c>
      <x:c r="E6" s="85" t="n">
        <x:f>IF(COUNT('Curve Data'!L7:L11)=0,"",MIN('Curve Data'!L7:L11))</x:f>
        <x:v>1.1868300148856497</x:v>
      </x:c>
      <x:c r="F6" s="85" t="n">
        <x:f>IF(COUNT('Curve Data'!L7:L11)=0,"",MAX('Curve Data'!L7:L11))</x:f>
        <x:v>1.7312775328489782</x:v>
      </x:c>
      <x:c r="G6" s="83" t="str">
        <x:f>COUNT('Curve Data'!L7:L11)&amp;" / "&amp;COUNTIF('Curve Data'!L7:L11,"&gt;=1")</x:f>
        <x:v>5 / 5</x:v>
      </x:c>
      <x:c r="H6" s="85" t="n">
        <x:f>IF(COUNT('Curve Data'!P7:P11)=0,"",MIN('Curve Data'!P7:P11))</x:f>
        <x:v>0.9930675908900791</x:v>
      </x:c>
      <x:c r="I6" s="85" t="n">
        <x:f>IF(COUNT('Curve Data'!P7:P11)=0,"",MAX('Curve Data'!P7:P11))</x:f>
        <x:v>1.7857861892598255</x:v>
      </x:c>
      <x:c r="J6" s="86" t="n">
        <x:f>MAX('Curve Data'!U7:U11)</x:f>
        <x:v>0.0007898894155</x:v>
      </x:c>
      <x:c r="K6" s="86" t="n">
        <x:f>IF(COUNT('Curve Data'!Z7:Z11)=0,"",MIN('Curve Data'!Z7:Z11))</x:f>
        <x:v>0.16897528426158237</x:v>
      </x:c>
      <x:c r="L6" s="86" t="n">
        <x:f>IF(COUNT('Curve Data'!Z7:Z11)=0,"",MAX('Curve Data'!Z7:Z11))</x:f>
        <x:v>0.5298523973139875</x:v>
      </x:c>
      <x:c r="M6" s="86" t="n">
        <x:f>IF(COUNT('Curve Data'!AC7:AC11)=0,"",MIN('Curve Data'!AC7:AC11))</x:f>
        <x:v>-0.000791765815760348</x:v>
      </x:c>
      <x:c r="N6" s="86" t="n">
        <x:f>IF(COUNT('Curve Data'!AC7:AC11)=0,"",MAX('Curve Data'!AC7:AC11))</x:f>
        <x:v>0.0009149131847083769</x:v>
      </x:c>
      <x:c r="O6" s="86" t="n">
        <x:f>MAX('Curve Data'!I7:I11)</x:f>
        <x:v>0.02719780332</x:v>
      </x:c>
      <x:c r="P6" s="83" t="n">
        <x:f>COUNTIF('Curve Data'!AE7:AE11,"drop &gt;10%")+COUNTIF('Curve Data'!AE7:AE11,"jump &gt;50%")</x:f>
        <x:v>0</x:v>
      </x:c>
      <x:c r="Q6" s="83" t="n">
        <x:f>COUNTIF('Curve Data'!AF7:AF11,"&lt;-0.4")</x:f>
        <x:v>1</x:v>
      </x:c>
      <x:c r="R6" s="83" t="str">
        <x:v>Usable with caveat</x:v>
      </x:c>
      <x:c r="S6" s="83" t="str">
        <x:v>Agent TPS improves, but total/background TPS falls as clients increase; do not claim system-wide scaling.</x:v>
      </x:c>
    </x:row>
    <x:row r="7" ht="54" customHeight="1">
      <x:c r="A7" s="83" t="str">
        <x:v>YCSB medium</x:v>
      </x:c>
      <x:c r="B7" s="84" t="n">
        <x:v>1</x:v>
      </x:c>
      <x:c r="C7" s="83" t="str">
        <x:v>3 seeds each</x:v>
      </x:c>
      <x:c r="D7" s="83" t="str">
        <x:v>69.5 -&gt; 136.7 -&gt; 198.5 -&gt; 250.8 -&gt; 289.5</x:v>
      </x:c>
      <x:c r="E7" s="85" t="n">
        <x:f>IF(COUNT('Curve Data'!L12:L16)=0,"",MIN('Curve Data'!L12:L16))</x:f>
        <x:v>0.9485627836611197</x:v>
      </x:c>
      <x:c r="F7" s="85" t="n">
        <x:f>IF(COUNT('Curve Data'!L12:L16)=0,"",MAX('Curve Data'!L12:L16))</x:f>
        <x:v>0.9923809524285714</x:v>
      </x:c>
      <x:c r="G7" s="83" t="str">
        <x:f>COUNT('Curve Data'!L12:L16)&amp;" / "&amp;COUNTIF('Curve Data'!L12:L16,"&gt;=1")</x:f>
        <x:v>5 / 0</x:v>
      </x:c>
      <x:c r="H7" s="85" t="n">
        <x:f>IF(COUNT('Curve Data'!P12:P16)=0,"",MIN('Curve Data'!P12:P16))</x:f>
        <x:v>0.9485627836611197</x:v>
      </x:c>
      <x:c r="I7" s="85" t="n">
        <x:f>IF(COUNT('Curve Data'!P12:P16)=0,"",MAX('Curve Data'!P12:P16))</x:f>
        <x:v>0.9923809524285714</x:v>
      </x:c>
      <x:c r="J7" s="86" t="n">
        <x:f>MAX('Curve Data'!U12:U16)</x:f>
        <x:v>0.006969005724</x:v>
      </x:c>
      <x:c r="K7" s="86" t="n">
        <x:f>IF(COUNT('Curve Data'!Z12:Z16)=0,"",MIN('Curve Data'!Z12:Z16))</x:f>
        <x:v>-0.04810076410020625</x:v>
      </x:c>
      <x:c r="L7" s="86" t="n">
        <x:f>IF(COUNT('Curve Data'!Z12:Z16)=0,"",MAX('Curve Data'!Z12:Z16))</x:f>
        <x:v>0.0004713958152474662</x:v>
      </x:c>
      <x:c r="M7" s="86" t="n">
        <x:f>IF(COUNT('Curve Data'!AC12:AC16)=0,"",MIN('Curve Data'!AC12:AC16))</x:f>
        <x:v>-0.0008854472808978997</x:v>
      </x:c>
      <x:c r="N7" s="86" t="n">
        <x:f>IF(COUNT('Curve Data'!AC12:AC16)=0,"",MAX('Curve Data'!AC12:AC16))</x:f>
        <x:v>0.0011237217671916655</x:v>
      </x:c>
      <x:c r="O7" s="86" t="n">
        <x:f>MAX('Curve Data'!I12:I16)</x:f>
        <x:v>0.08364864645</x:v>
      </x:c>
      <x:c r="P7" s="83" t="n">
        <x:f>COUNTIF('Curve Data'!AE12:AE16,"drop &gt;10%")+COUNTIF('Curve Data'!AE12:AE16,"jump &gt;50%")</x:f>
        <x:v>0</x:v>
      </x:c>
      <x:c r="Q7" s="83" t="n">
        <x:f>COUNTIF('Curve Data'!AF12:AF16,"&lt;-0.4")</x:f>
        <x:v>0</x:v>
      </x:c>
      <x:c r="R7" s="83" t="str">
        <x:v>Not a benefit result</x:v>
      </x:c>
      <x:c r="S7" s="83" t="str">
        <x:v>Near baseline parity; does not support the paper's order-of-magnitude medium-contention claim.</x:v>
      </x:c>
    </x:row>
    <x:row r="8" ht="54" customHeight="1">
      <x:c r="A8" s="83" t="str">
        <x:v>YCSB medium</x:v>
      </x:c>
      <x:c r="B8" s="84" t="n">
        <x:v>0.8</x:v>
      </x:c>
      <x:c r="C8" s="83" t="str">
        <x:v>3 seeds each</x:v>
      </x:c>
      <x:c r="D8" s="83" t="str">
        <x:v>39.3 -&gt; 71.5 -&gt; 96.0 -&gt; 110.8 -&gt; 109.3</x:v>
      </x:c>
      <x:c r="E8" s="85" t="n">
        <x:f>IF(COUNT('Curve Data'!L17:L21)=0,"",MIN('Curve Data'!L17:L21))</x:f>
        <x:v>0.9203142533670035</x:v>
      </x:c>
      <x:c r="F8" s="85" t="n">
        <x:f>IF(COUNT('Curve Data'!L17:L21)=0,"",MAX('Curve Data'!L17:L21))</x:f>
        <x:v>1.9155844157330495</x:v>
      </x:c>
      <x:c r="G8" s="83" t="str">
        <x:f>COUNT('Curve Data'!L17:L21)&amp;" / "&amp;COUNTIF('Curve Data'!L17:L21,"&gt;=1")</x:f>
        <x:v>5 / 3</x:v>
      </x:c>
      <x:c r="H8" s="85" t="n">
        <x:f>IF(COUNT('Curve Data'!P17:P21)=0,"",MIN('Curve Data'!P17:P21))</x:f>
        <x:v>0.4783456125014618</x:v>
      </x:c>
      <x:c r="I8" s="85" t="n">
        <x:f>IF(COUNT('Curve Data'!P17:P21)=0,"",MAX('Curve Data'!P17:P21))</x:f>
        <x:v>0.9667047184646119</x:v>
      </x:c>
      <x:c r="J8" s="86" t="n">
        <x:f>MAX('Curve Data'!U17:U21)</x:f>
        <x:v>0.03530571135</x:v>
      </x:c>
      <x:c r="K8" s="86" t="n">
        <x:f>IF(COUNT('Curve Data'!Z17:Z21)=0,"",MIN('Curve Data'!Z17:Z21))</x:f>
        <x:v>-0.34252094948985845</x:v>
      </x:c>
      <x:c r="L8" s="86" t="n">
        <x:f>IF(COUNT('Curve Data'!Z17:Z21)=0,"",MAX('Curve Data'!Z17:Z21))</x:f>
        <x:v>0.5746901034783223</x:v>
      </x:c>
      <x:c r="M8" s="86" t="n">
        <x:f>IF(COUNT('Curve Data'!AC17:AC21)=0,"",MIN('Curve Data'!AC17:AC21))</x:f>
        <x:v>-0.004293047230710112</x:v>
      </x:c>
      <x:c r="N8" s="86" t="n">
        <x:f>IF(COUNT('Curve Data'!AC17:AC21)=0,"",MAX('Curve Data'!AC17:AC21))</x:f>
        <x:v>0.06903189924056219</x:v>
      </x:c>
      <x:c r="O8" s="86" t="n">
        <x:f>MAX('Curve Data'!I17:I21)</x:f>
        <x:v>0.2609288868</x:v>
      </x:c>
      <x:c r="P8" s="83" t="n">
        <x:f>COUNTIF('Curve Data'!AE17:AE21,"drop &gt;10%")+COUNTIF('Curve Data'!AE17:AE21,"jump &gt;50%")</x:f>
        <x:v>0</x:v>
      </x:c>
      <x:c r="Q8" s="83" t="n">
        <x:f>COUNTIF('Curve Data'!AF17:AF21,"&lt;-0.4")</x:f>
        <x:v>2</x:v>
      </x:c>
      <x:c r="R8" s="83" t="str">
        <x:v>Do not use in main figure</x:v>
      </x:c>
      <x:c r="S8" s="83" t="str">
        <x:v>Mixed wins/losses, high CV at 8 clients, and unstable P99/total-throughput curves.</x:v>
      </x:c>
    </x:row>
    <x:row r="9" ht="54" customHeight="1">
      <x:c r="A9" s="83" t="str">
        <x:v>YCSB high</x:v>
      </x:c>
      <x:c r="B9" s="84" t="n">
        <x:v>1</x:v>
      </x:c>
      <x:c r="C9" s="83" t="str">
        <x:v>3 seeds each</x:v>
      </x:c>
      <x:c r="D9" s="83" t="str">
        <x:v>15.5 -&gt; 25.9 -&gt; 29.2 -&gt; 31.9 -&gt; 32.0</x:v>
      </x:c>
      <x:c r="E9" s="85" t="n">
        <x:f>IF(COUNT('Curve Data'!L22:L26)=0,"",MIN('Curve Data'!L22:L26))</x:f>
        <x:v>0.9206349208333333</x:v>
      </x:c>
      <x:c r="F9" s="85" t="n">
        <x:f>IF(COUNT('Curve Data'!L22:L26)=0,"",MAX('Curve Data'!L22:L26))</x:f>
        <x:v>1.2763157894282375</x:v>
      </x:c>
      <x:c r="G9" s="83" t="str">
        <x:f>COUNT('Curve Data'!L22:L26)&amp;" / "&amp;COUNTIF('Curve Data'!L22:L26,"&gt;=1")</x:f>
        <x:v>5 / 4</x:v>
      </x:c>
      <x:c r="H9" s="85" t="n">
        <x:f>IF(COUNT('Curve Data'!P22:P26)=0,"",MIN('Curve Data'!P22:P26))</x:f>
        <x:v>0.9206349208333333</x:v>
      </x:c>
      <x:c r="I9" s="85" t="n">
        <x:f>IF(COUNT('Curve Data'!P22:P26)=0,"",MAX('Curve Data'!P22:P26))</x:f>
        <x:v>1.2763157894282375</x:v>
      </x:c>
      <x:c r="J9" s="86" t="n">
        <x:f>MAX('Curve Data'!U22:U26)</x:f>
        <x:v>0.3076869194</x:v>
      </x:c>
      <x:c r="K9" s="86" t="n">
        <x:f>IF(COUNT('Curve Data'!Z22:Z26)=0,"",MIN('Curve Data'!Z22:Z26))</x:f>
        <x:v>-0.07978479800229898</x:v>
      </x:c>
      <x:c r="L9" s="86" t="n">
        <x:f>IF(COUNT('Curve Data'!Z22:Z26)=0,"",MAX('Curve Data'!Z22:Z26))</x:f>
        <x:v>0.22512638577836486</x:v>
      </x:c>
      <x:c r="M9" s="86" t="n">
        <x:f>IF(COUNT('Curve Data'!AC22:AC26)=0,"",MIN('Curve Data'!AC22:AC26))</x:f>
        <x:v>-0.04420859099580987</x:v>
      </x:c>
      <x:c r="N9" s="86" t="n">
        <x:f>IF(COUNT('Curve Data'!AC22:AC26)=0,"",MAX('Curve Data'!AC22:AC26))</x:f>
        <x:v>0.06570289359163684</x:v>
      </x:c>
      <x:c r="O9" s="86" t="n">
        <x:f>MAX('Curve Data'!I22:I26)</x:f>
        <x:v>0.2017500159</x:v>
      </x:c>
      <x:c r="P9" s="83" t="n">
        <x:f>COUNTIF('Curve Data'!AE22:AE26,"drop &gt;10%")+COUNTIF('Curve Data'!AE22:AE26,"jump &gt;50%")</x:f>
        <x:v>0</x:v>
      </x:c>
      <x:c r="Q9" s="83" t="n">
        <x:f>COUNTIF('Curve Data'!AF22:AF26,"&lt;-0.4")</x:f>
        <x:v>0</x:v>
      </x:c>
      <x:c r="R9" s="83" t="str">
        <x:v>Directional only</x:v>
      </x:c>
      <x:c r="S9" s="83" t="str">
        <x:v>Curve saturates smoothly, but speedup is only 0.92-1.28x and abort reaches 30.8%.</x:v>
      </x:c>
    </x:row>
    <x:row r="10" ht="54" customHeight="1">
      <x:c r="A10" s="83" t="str">
        <x:v>YCSB high</x:v>
      </x:c>
      <x:c r="B10" s="84" t="n">
        <x:v>0.8</x:v>
      </x:c>
      <x:c r="C10" s="83" t="str">
        <x:v>1-3; formal override present</x:v>
      </x:c>
      <x:c r="D10" s="83" t="str">
        <x:v>10.5 -&gt; 19.1 -&gt; 18.0 -&gt; 35.0 -&gt; 40.0</x:v>
      </x:c>
      <x:c r="E10" s="85" t="n">
        <x:f>IF(COUNT('Curve Data'!L27:L31)=0,"",MIN('Curve Data'!L27:L31))</x:f>
        <x:v>17.5</x:v>
      </x:c>
      <x:c r="F10" s="85" t="n">
        <x:f>IF(COUNT('Curve Data'!L27:L31)=0,"",MAX('Curve Data'!L27:L31))</x:f>
        <x:v>28.600000003570003</x:v>
      </x:c>
      <x:c r="G10" s="83" t="str">
        <x:f>COUNT('Curve Data'!L27:L31)&amp;" / "&amp;COUNTIF('Curve Data'!L27:L31,"&gt;=1")</x:f>
        <x:v>5 / 5</x:v>
      </x:c>
      <x:c r="H10" s="85" t="n">
        <x:f>IF(COUNT('Curve Data'!P27:P31)=0,"",MIN('Curve Data'!P27:P31))</x:f>
        <x:v>0.04651643580731859</x:v>
      </x:c>
      <x:c r="I10" s="85" t="n">
        <x:f>IF(COUNT('Curve Data'!P27:P31)=0,"",MAX('Curve Data'!P27:P31))</x:f>
        <x:v>0.23148911127596955</x:v>
      </x:c>
      <x:c r="J10" s="86" t="n">
        <x:f>MAX('Curve Data'!U27:U31)</x:f>
        <x:v>0.3402061856</x:v>
      </x:c>
      <x:c r="K10" s="86" t="n">
        <x:f>IF(COUNT('Curve Data'!Z27:Z31)=0,"",MIN('Curve Data'!Z27:Z31))</x:f>
        <x:v>0.022078707813510623</x:v>
      </x:c>
      <x:c r="L10" s="86" t="n">
        <x:f>IF(COUNT('Curve Data'!Z27:Z31)=0,"",MAX('Curve Data'!Z27:Z31))</x:f>
        <x:v>0.3932916952128801</x:v>
      </x:c>
      <x:c r="M10" s="86" t="n">
        <x:f>IF(COUNT('Curve Data'!AC27:AC31)=0,"",MIN('Curve Data'!AC27:AC31))</x:f>
        <x:v>0.3360569422712534</x:v>
      </x:c>
      <x:c r="N10" s="86" t="n">
        <x:f>IF(COUNT('Curve Data'!AC27:AC31)=0,"",MAX('Curve Data'!AC27:AC31))</x:f>
        <x:v>0.43145944333042996</x:v>
      </x:c>
      <x:c r="O10" s="86" t="n">
        <x:f>MAX('Curve Data'!I27:I31)</x:f>
        <x:v>0.3227964233</x:v>
      </x:c>
      <x:c r="P10" s="83" t="n">
        <x:f>COUNTIF('Curve Data'!AE27:AE31,"drop &gt;10%")+COUNTIF('Curve Data'!AE27:AE31,"jump &gt;50%")</x:f>
        <x:v>1</x:v>
      </x:c>
      <x:c r="Q10" s="83" t="n">
        <x:f>COUNTIF('Curve Data'!AF27:AF31,"&lt;-0.4")</x:f>
        <x:v>2</x:v>
      </x:c>
      <x:c r="R10" s="83" t="str">
        <x:v>Do not use in main figure</x:v>
      </x:c>
      <x:c r="S10" s="83" t="str">
        <x:v>Large ratios rely on near-zero baselines; 24-&gt;32 has a 94% Agent-TPS jump and total/background TPS cliffs.</x:v>
      </x:c>
    </x:row>
    <x:row r="11" ht="54" customHeight="1">
      <x:c r="A11" s="83" t="str">
        <x:v>TPC-C low</x:v>
      </x:c>
      <x:c r="B11" s="84" t="n">
        <x:v>1</x:v>
      </x:c>
      <x:c r="C11" s="83" t="str">
        <x:v>3 seeds each</x:v>
      </x:c>
      <x:c r="D11" s="83" t="str">
        <x:v>25.5 -&gt; 47.3 -&gt; 62.7 -&gt; 84.9 -&gt; 92.3</x:v>
      </x:c>
      <x:c r="E11" s="85" t="n">
        <x:f>IF(COUNT('Curve Data'!L32:L36)=0,"",MIN('Curve Data'!L32:L36))</x:f>
        <x:v>0.9479452055461626</x:v>
      </x:c>
      <x:c r="F11" s="85" t="n">
        <x:f>IF(COUNT('Curve Data'!L32:L36)=0,"",MAX('Curve Data'!L32:L36))</x:f>
        <x:v>0.9875968991860464</x:v>
      </x:c>
      <x:c r="G11" s="83" t="str">
        <x:f>COUNT('Curve Data'!L32:L36)&amp;" / "&amp;COUNTIF('Curve Data'!L32:L36,"&gt;=1")</x:f>
        <x:v>5 / 0</x:v>
      </x:c>
      <x:c r="H11" s="85" t="n">
        <x:f>IF(COUNT('Curve Data'!P32:P36)=0,"",MIN('Curve Data'!P32:P36))</x:f>
        <x:v>0.9479452055461626</x:v>
      </x:c>
      <x:c r="I11" s="85" t="n">
        <x:f>IF(COUNT('Curve Data'!P32:P36)=0,"",MAX('Curve Data'!P32:P36))</x:f>
        <x:v>0.9875968991860464</x:v>
      </x:c>
      <x:c r="J11" s="86" t="n">
        <x:f>MAX('Curve Data'!U32:U36)</x:f>
        <x:v>0.0468478786</x:v>
      </x:c>
      <x:c r="K11" s="86" t="n">
        <x:f>IF(COUNT('Curve Data'!Z32:Z36)=0,"",MIN('Curve Data'!Z32:Z36))</x:f>
        <x:v>-0.03610697954440045</x:v>
      </x:c>
      <x:c r="L11" s="86" t="n">
        <x:f>IF(COUNT('Curve Data'!Z32:Z36)=0,"",MAX('Curve Data'!Z32:Z36))</x:f>
        <x:v>0.04001923703846377</x:v>
      </x:c>
      <x:c r="M11" s="86" t="n">
        <x:f>IF(COUNT('Curve Data'!AC32:AC36)=0,"",MIN('Curve Data'!AC32:AC36))</x:f>
        <x:v>-0.003402130492464739</x:v>
      </x:c>
      <x:c r="N11" s="86" t="n">
        <x:f>IF(COUNT('Curve Data'!AC32:AC36)=0,"",MAX('Curve Data'!AC32:AC36))</x:f>
        <x:v>0.004339540714024759</x:v>
      </x:c>
      <x:c r="O11" s="86" t="n">
        <x:f>MAX('Curve Data'!I32:I36)</x:f>
        <x:v>0.145940941</x:v>
      </x:c>
      <x:c r="P11" s="83" t="n">
        <x:f>COUNTIF('Curve Data'!AE32:AE36,"drop &gt;10%")+COUNTIF('Curve Data'!AE32:AE36,"jump &gt;50%")</x:f>
        <x:v>0</x:v>
      </x:c>
      <x:c r="Q11" s="83" t="n">
        <x:f>COUNTIF('Curve Data'!AF32:AF36,"&lt;-0.4")</x:f>
        <x:v>0</x:v>
      </x:c>
      <x:c r="R11" s="83" t="str">
        <x:v>Auxiliary only</x:v>
      </x:c>
      <x:c r="S11" s="83" t="str">
        <x:v>Monotone scaling shape, but 5x clients yields 3.62x TPS and every point is slightly below the best baseline.</x:v>
      </x:c>
    </x:row>
    <x:row r="12" ht="54" customHeight="1">
      <x:c r="A12" s="83" t="str">
        <x:v>TPC-C low</x:v>
      </x:c>
      <x:c r="B12" s="84" t="n">
        <x:v>0.8</x:v>
      </x:c>
      <x:c r="C12" s="83" t="str">
        <x:v>3 seeds each</x:v>
      </x:c>
      <x:c r="D12" s="83" t="str">
        <x:v>5.5 -&gt; 17.9 -&gt; 31.5 -&gt; 36.9 -&gt; 34.0</x:v>
      </x:c>
      <x:c r="E12" s="85" t="n">
        <x:f>IF(COUNT('Curve Data'!L37:L41)=0,"",MIN('Curve Data'!L37:L41))</x:f>
        <x:v>0.7846153846757397</x:v>
      </x:c>
      <x:c r="F12" s="85" t="n">
        <x:f>IF(COUNT('Curve Data'!L37:L41)=0,"",MAX('Curve Data'!L37:L41))</x:f>
        <x:v>1.1859296485158202</x:v>
      </x:c>
      <x:c r="G12" s="83" t="str">
        <x:f>COUNT('Curve Data'!L37:L41)&amp;" / "&amp;COUNTIF('Curve Data'!L37:L41,"&gt;=1")</x:f>
        <x:v>5 / 2</x:v>
      </x:c>
      <x:c r="H12" s="85" t="n">
        <x:f>IF(COUNT('Curve Data'!P37:P41)=0,"",MIN('Curve Data'!P37:P41))</x:f>
        <x:v>0.5721698111353574</x:v>
      </x:c>
      <x:c r="I12" s="85" t="n">
        <x:f>IF(COUNT('Curve Data'!P37:P41)=0,"",MAX('Curve Data'!P37:P41))</x:f>
        <x:v>1.2086628119345755</x:v>
      </x:c>
      <x:c r="J12" s="86" t="n">
        <x:f>MAX('Curve Data'!U37:U41)</x:f>
        <x:v>0.2235185185</x:v>
      </x:c>
      <x:c r="K12" s="86" t="n">
        <x:f>IF(COUNT('Curve Data'!Z37:Z41)=0,"",MIN('Curve Data'!Z37:Z41))</x:f>
        <x:v>-0.04035902544017045</x:v>
      </x:c>
      <x:c r="L12" s="86" t="n">
        <x:f>IF(COUNT('Curve Data'!Z37:Z41)=0,"",MAX('Curve Data'!Z37:Z41))</x:f>
        <x:v>0.04489021054092568</x:v>
      </x:c>
      <x:c r="M12" s="86" t="n">
        <x:f>IF(COUNT('Curve Data'!AC37:AC41)=0,"",MIN('Curve Data'!AC37:AC41))</x:f>
        <x:v>-0.02320755257411955</x:v>
      </x:c>
      <x:c r="N12" s="86" t="n">
        <x:f>IF(COUNT('Curve Data'!AC37:AC41)=0,"",MAX('Curve Data'!AC37:AC41))</x:f>
        <x:v>0.030665961197436364</x:v>
      </x:c>
      <x:c r="O12" s="86" t="n">
        <x:f>MAX('Curve Data'!I37:I41)</x:f>
        <x:v>0.2117647059</x:v>
      </x:c>
      <x:c r="P12" s="83" t="n">
        <x:f>COUNTIF('Curve Data'!AE37:AE41,"drop &gt;10%")+COUNTIF('Curve Data'!AE37:AE41,"jump &gt;50%")</x:f>
        <x:v>1</x:v>
      </x:c>
      <x:c r="Q12" s="83" t="n">
        <x:f>COUNTIF('Curve Data'!AF37:AF41,"&lt;-0.4")</x:f>
        <x:v>3</x:v>
      </x:c>
      <x:c r="R12" s="83" t="str">
        <x:v>Do not use in main figure</x:v>
      </x:c>
      <x:c r="S12" s="83" t="str">
        <x:v>Agent TPS scales to 32 clients, then falls; only one point clearly beats the best baseline and total TPS is irregular.</x:v>
      </x:c>
    </x:row>
    <x:row r="13" ht="54" customHeight="1">
      <x:c r="A13" s="83" t="str">
        <x:v>TPC-C high</x:v>
      </x:c>
      <x:c r="B13" s="84" t="n">
        <x:v>1</x:v>
      </x:c>
      <x:c r="C13" s="83" t="str">
        <x:v>1-1; formal override present</x:v>
      </x:c>
      <x:c r="D13" s="83" t="str">
        <x:v>22.8 -&gt; 36.0 -&gt; 33.6 -&gt; 28.4 -&gt; 20.4</x:v>
      </x:c>
      <x:c r="E13" s="85" t="n">
        <x:f>IF(COUNT('Curve Data'!L42:L46)=0,"",MIN('Curve Data'!L42:L46))</x:f>
        <x:v>1.443396226755518</x:v>
      </x:c>
      <x:c r="F13" s="85" t="n">
        <x:f>IF(COUNT('Curve Data'!L42:L46)=0,"",MAX('Curve Data'!L42:L46))</x:f>
        <x:v>3.91304347826087</x:v>
      </x:c>
      <x:c r="G13" s="83" t="str">
        <x:f>COUNT('Curve Data'!L42:L46)&amp;" / "&amp;COUNTIF('Curve Data'!L42:L46,"&gt;=1")</x:f>
        <x:v>5 / 5</x:v>
      </x:c>
      <x:c r="H13" s="85" t="n">
        <x:f>IF(COUNT('Curve Data'!P42:P46)=0,"",MIN('Curve Data'!P42:P46))</x:f>
        <x:v>1.443396226755518</x:v>
      </x:c>
      <x:c r="I13" s="85" t="n">
        <x:f>IF(COUNT('Curve Data'!P42:P46)=0,"",MAX('Curve Data'!P42:P46))</x:f>
        <x:v>3.91304347826087</x:v>
      </x:c>
      <x:c r="J13" s="86" t="n">
        <x:f>MAX('Curve Data'!U42:U46)</x:f>
        <x:v>0.7586206897</x:v>
      </x:c>
      <x:c r="K13" s="86" t="n">
        <x:f>IF(COUNT('Curve Data'!Z42:Z46)=0,"",MIN('Curve Data'!Z42:Z46))</x:f>
        <x:v>0.6734021964956725</x:v>
      </x:c>
      <x:c r="L13" s="86" t="n">
        <x:f>IF(COUNT('Curve Data'!Z42:Z46)=0,"",MAX('Curve Data'!Z42:Z46))</x:f>
        <x:v>0.8774179272690524</x:v>
      </x:c>
      <x:c r="M13" s="86" t="n">
        <x:f>IF(COUNT('Curve Data'!AC42:AC46)=0,"",MIN('Curve Data'!AC42:AC46))</x:f>
        <x:v>-1.424306403110514</x:v>
      </x:c>
      <x:c r="N13" s="86" t="n">
        <x:f>IF(COUNT('Curve Data'!AC42:AC46)=0,"",MAX('Curve Data'!AC42:AC46))</x:f>
        <x:v>-0.12487746570199354</x:v>
      </x:c>
      <x:c r="O13" s="86" t="n">
        <x:f>MAX('Curve Data'!I42:I46)</x:f>
        <x:v>0</x:v>
      </x:c>
      <x:c r="P13" s="83" t="n">
        <x:f>COUNTIF('Curve Data'!AE42:AE46,"drop &gt;10%")+COUNTIF('Curve Data'!AE42:AE46,"jump &gt;50%")</x:f>
        <x:v>2</x:v>
      </x:c>
      <x:c r="Q13" s="83" t="n">
        <x:f>COUNTIF('Curve Data'!AF42:AF46,"&lt;-0.4")</x:f>
        <x:v>0</x:v>
      </x:c>
      <x:c r="R13" s="83" t="str">
        <x:v>Main result with caveat</x:v>
      </x:c>
      <x:c r="S13" s="83" t="str">
        <x:v>Strong 1.44-3.91x Agent-TPS and large P99 gains, but abort is 27-76% and TPS declines after saturation at 16 clients.</x:v>
      </x:c>
    </x:row>
    <x:row r="14" ht="54" customHeight="1">
      <x:c r="A14" s="87" t="str">
        <x:v>TPC-C high</x:v>
      </x:c>
      <x:c r="B14" s="88" t="n">
        <x:v>0.8</x:v>
      </x:c>
      <x:c r="C14" s="87" t="str">
        <x:v>3 seeds each</x:v>
      </x:c>
      <x:c r="D14" s="87" t="str">
        <x:v>0.9 -&gt; 3.9 -&gt; 7.3 -&gt; 7.7 -&gt; 8.1</x:v>
      </x:c>
      <x:c r="E14" s="89" t="n">
        <x:f>IF(COUNT('Curve Data'!L47:L51)=0,"",MIN('Curve Data'!L47:L51))</x:f>
        <x:v>61.00000001275</x:v>
      </x:c>
      <x:c r="F14" s="89" t="n">
        <x:f>IF(COUNT('Curve Data'!L47:L51)=0,"",MAX('Curve Data'!L47:L51))</x:f>
        <x:v>61.00000001275</x:v>
      </x:c>
      <x:c r="G14" s="87" t="str">
        <x:f>COUNT('Curve Data'!L47:L51)&amp;" / "&amp;COUNTIF('Curve Data'!L47:L51,"&gt;=1")</x:f>
        <x:v>1 / 1</x:v>
      </x:c>
      <x:c r="H14" s="89" t="n">
        <x:f>IF(COUNT('Curve Data'!P47:P51)=0,"",MIN('Curve Data'!P47:P51))</x:f>
        <x:v>0.13296948647773693</x:v>
      </x:c>
      <x:c r="I14" s="89" t="n">
        <x:f>IF(COUNT('Curve Data'!P47:P51)=0,"",MAX('Curve Data'!P47:P51))</x:f>
        <x:v>0.5782009723262255</x:v>
      </x:c>
      <x:c r="J14" s="90" t="n">
        <x:f>MAX('Curve Data'!U47:U51)</x:f>
        <x:v>0.4728981336</x:v>
      </x:c>
      <x:c r="K14" s="90" t="n">
        <x:f>IF(COUNT('Curve Data'!Z47:Z51)=0,"",MIN('Curve Data'!Z47:Z51))</x:f>
        <x:v>-0.19423696806883073</x:v>
      </x:c>
      <x:c r="L14" s="90" t="n">
        <x:f>IF(COUNT('Curve Data'!Z47:Z51)=0,"",MAX('Curve Data'!Z47:Z51))</x:f>
        <x:v>0.09483460919930398</x:v>
      </x:c>
      <x:c r="M14" s="90" t="n">
        <x:f>IF(COUNT('Curve Data'!AC47:AC51)=0,"",MIN('Curve Data'!AC47:AC51))</x:f>
        <x:v>0.15953860496646866</x:v>
      </x:c>
      <x:c r="N14" s="90" t="n">
        <x:f>IF(COUNT('Curve Data'!AC47:AC51)=0,"",MAX('Curve Data'!AC47:AC51))</x:f>
        <x:v>0.25510285590837856</x:v>
      </x:c>
      <x:c r="O14" s="90" t="n">
        <x:f>MAX('Curve Data'!I47:I51)</x:f>
        <x:v>1.078547776</x:v>
      </x:c>
      <x:c r="P14" s="87" t="n">
        <x:f>COUNTIF('Curve Data'!AE47:AE51,"drop &gt;10%")+COUNTIF('Curve Data'!AE47:AE51,"jump &gt;50%")</x:f>
        <x:v>1</x:v>
      </x:c>
      <x:c r="Q14" s="87" t="n">
        <x:f>COUNTIF('Curve Data'!AF47:AF51,"&lt;-0.4")</x:f>
        <x:v>2</x:v>
      </x:c>
      <x:c r="R14" s="87" t="str">
        <x:v>Do not use in main figure</x:v>
      </x:c>
      <x:c r="S14" s="87" t="str">
        <x:v>Four speedups are undefined because baseline Agent TPS is zero; abort is 40-47% and total/background TPS collapses.</x:v>
      </x:c>
    </x:row>
  </x:sheetData>
  <x:mergeCells>
    <x:mergeCell ref="A1:S1"/>
    <x:mergeCell ref="A2:S2"/>
  </x:mergeCells>
  <x:conditionalFormatting sqref="R5:R14">
    <x:cfRule type="containsText" dxfId="0" priority="1" operator="containsText" text="Main result"/>
    <x:cfRule type="containsText" dxfId="1" priority="2" operator="containsText" text="Do not use"/>
    <x:cfRule type="containsText" dxfId="2" priority="3" operator="containsText" text="caveat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32" hidden="0" customWidth="1"/>
  </x:cols>
  <x:sheetData>
    <x:row r="1" ht="32" customHeight="1">
      <x:c r="A1" s="28" t="str">
        <x:v>Workload</x:v>
      </x:c>
      <x:c r="B1" s="29" t="str">
        <x:v>Agent ratio</x:v>
      </x:c>
      <x:c r="C1" s="29" t="str">
        <x:v>Clients</x:v>
      </x:c>
      <x:c r="D1" s="29" t="str">
        <x:v>Agent workers</x:v>
      </x:c>
      <x:c r="E1" s="29" t="str">
        <x:v>Background workers</x:v>
      </x:c>
      <x:c r="F1" s="29" t="str">
        <x:v>N seeds</x:v>
      </x:c>
      <x:c r="G1" s="29" t="str">
        <x:v>Result class</x:v>
      </x:c>
      <x:c r="H1" s="29" t="str">
        <x:v>Agent TPS</x:v>
      </x:c>
      <x:c r="I1" s="29" t="str">
        <x:v>Agent TPS CV</x:v>
      </x:c>
      <x:c r="J1" s="29" t="str">
        <x:v>Best agent baseline TPS</x:v>
      </x:c>
      <x:c r="K1" s="29" t="str">
        <x:v>Best agent baseline CC</x:v>
      </x:c>
      <x:c r="L1" s="29" t="str">
        <x:v>Agent TPS speedup</x:v>
      </x:c>
      <x:c r="M1" s="29" t="str">
        <x:v>Total TPS</x:v>
      </x:c>
      <x:c r="N1" s="29" t="str">
        <x:v>Best total baseline TPS</x:v>
      </x:c>
      <x:c r="O1" s="29" t="str">
        <x:v>Best total baseline CC</x:v>
      </x:c>
      <x:c r="P1" s="29" t="str">
        <x:v>Total TPS speedup</x:v>
      </x:c>
      <x:c r="Q1" s="29" t="str">
        <x:v>Background TPS</x:v>
      </x:c>
      <x:c r="R1" s="29" t="str">
        <x:v>Best background baseline TPS</x:v>
      </x:c>
      <x:c r="S1" s="29" t="str">
        <x:v>Best background baseline CC</x:v>
      </x:c>
      <x:c r="T1" s="29" t="str">
        <x:v>Background TPS speedup</x:v>
      </x:c>
      <x:c r="U1" s="29" t="str">
        <x:v>Abort rate</x:v>
      </x:c>
      <x:c r="V1" s="29" t="str">
        <x:v>Baseline abort rate</x:v>
      </x:c>
      <x:c r="W1" s="29" t="str">
        <x:v>Abort rate delta</x:v>
      </x:c>
      <x:c r="X1" s="29" t="str">
        <x:v>P99 latency (ms)</x:v>
      </x:c>
      <x:c r="Y1" s="29" t="str">
        <x:v>Baseline P99 (ms)</x:v>
      </x:c>
      <x:c r="Z1" s="29" t="str">
        <x:v>P99 reduction</x:v>
      </x:c>
      <x:c r="AA1" s="29" t="str">
        <x:v>Tokens / attempt</x:v>
      </x:c>
      <x:c r="AB1" s="29" t="str">
        <x:v>Baseline tokens / attempt</x:v>
      </x:c>
      <x:c r="AC1" s="29" t="str">
        <x:v>Token reduction</x:v>
      </x:c>
      <x:c r="AD1" s="29" t="str">
        <x:v>Agent TPS step change</x:v>
      </x:c>
      <x:c r="AE1" s="29" t="str">
        <x:v>Agent curve flag</x:v>
      </x:c>
      <x:c r="AF1" s="29" t="str">
        <x:v>Total TPS step change</x:v>
      </x:c>
      <x:c r="AG1" s="29" t="str">
        <x:v>Background TPS step change</x:v>
      </x:c>
      <x:c r="AH1" s="29" t="str">
        <x:v>P99 step change</x:v>
      </x:c>
      <x:c r="AI1" s="29" t="str">
        <x:v>Read conflicts</x:v>
      </x:c>
      <x:c r="AJ1" s="29" t="str">
        <x:v>Write conflicts</x:v>
      </x:c>
      <x:c r="AK1" s="29" t="str">
        <x:v>Version conflicts</x:v>
      </x:c>
      <x:c r="AL1" s="29" t="str">
        <x:v>Conflict aborts</x:v>
      </x:c>
      <x:c r="AM1" s="29" t="str">
        <x:v>Underlying attempts</x:v>
      </x:c>
      <x:c r="AN1" s="29" t="str">
        <x:v>Read conflict / attempt</x:v>
      </x:c>
      <x:c r="AO1" s="29" t="str">
        <x:v>Write conflict / attempt</x:v>
      </x:c>
      <x:c r="AP1" s="29" t="str">
        <x:v>Version conflict / attempt</x:v>
      </x:c>
      <x:c r="AQ1" s="29" t="str">
        <x:v>Conflict abort / attempt</x:v>
      </x:c>
      <x:c r="AR1" s="29" t="str">
        <x:v>Wasted reasoning (ms)</x:v>
      </x:c>
      <x:c r="AS1" s="29" t="str">
        <x:v>Admission deferrals</x:v>
      </x:c>
      <x:c r="AT1" s="29" t="str">
        <x:v>Lock wait events</x:v>
      </x:c>
      <x:c r="AU1" s="29" t="str">
        <x:v>Lock wait (ms)</x:v>
      </x:c>
      <x:c r="AV1" s="29" t="str">
        <x:v>Retry validation conflicts</x:v>
      </x:c>
      <x:c r="AW1" s="29" t="str">
        <x:v>Provenance</x:v>
      </x:c>
    </x:row>
    <x:row r="2">
      <x:c r="A2" s="30" t="str">
        <x:v>YCSB low</x:v>
      </x:c>
      <x:c r="B2" s="31" t="n">
        <x:v>1</x:v>
      </x:c>
      <x:c r="C2" s="30" t="n">
        <x:v>8</x:v>
      </x:c>
      <x:c r="D2" s="30" t="n">
        <x:v>8</x:v>
      </x:c>
      <x:c r="E2" s="30" t="n">
        <x:v>0</x:v>
      </x:c>
      <x:c r="F2" s="30" t="n">
        <x:v>3</x:v>
      </x:c>
      <x:c r="G2" s="30" t="str">
        <x:v>matrix_mean</x:v>
      </x:c>
      <x:c r="H2" s="32" t="n">
        <x:v>70.13333333</x:v>
      </x:c>
      <x:c r="I2" s="33" t="n">
        <x:v>0.01187261977</x:v>
      </x:c>
      <x:c r="J2" s="32" t="n">
        <x:v>70.13333333</x:v>
      </x:c>
      <x:c r="K2" s="32" t="str">
        <x:v>OCC</x:v>
      </x:c>
      <x:c r="L2" s="34" t="n">
        <x:f>IFERROR(H2/J2,"")</x:f>
        <x:v>1</x:v>
      </x:c>
      <x:c r="M2" s="32" t="n">
        <x:v>70.13333333</x:v>
      </x:c>
      <x:c r="N2" s="32" t="n">
        <x:v>70.13333333</x:v>
      </x:c>
      <x:c r="O2" s="32" t="str">
        <x:v>OCC</x:v>
      </x:c>
      <x:c r="P2" s="34" t="n">
        <x:f>IFERROR(M2/N2,"")</x:f>
        <x:v>1</x:v>
      </x:c>
      <x:c r="Q2" s="32" t="n">
        <x:v>0</x:v>
      </x:c>
      <x:c r="R2" s="32"/>
      <x:c r="S2" s="32" t="str"/>
      <x:c r="T2" s="34" t="str">
        <x:f>IFERROR(Q2/R2,"")</x:f>
      </x:c>
      <x:c r="U2" s="33" t="n">
        <x:v>0</x:v>
      </x:c>
      <x:c r="V2" s="33" t="n">
        <x:v>0</x:v>
      </x:c>
      <x:c r="W2" s="33" t="n">
        <x:f>IFERROR(U2-V2,"")</x:f>
        <x:v>0</x:v>
      </x:c>
      <x:c r="X2" s="30" t="n">
        <x:v>150.4647875</x:v>
      </x:c>
      <x:c r="Y2" s="30" t="n">
        <x:v>151.2217953</x:v>
      </x:c>
      <x:c r="Z2" s="33" t="n">
        <x:f>IFERROR(1-X2/Y2,"")</x:f>
        <x:v>0.0050059437430841625</x:v>
      </x:c>
      <x:c r="AA2" s="30" t="n">
        <x:v>27030</x:v>
      </x:c>
      <x:c r="AB2" s="30" t="n">
        <x:v>27030</x:v>
      </x:c>
      <x:c r="AC2" s="33" t="n">
        <x:f>IFERROR(1-AA2/AB2,"")</x:f>
        <x:v>0</x:v>
      </x:c>
      <x:c r="AD2" s="33"/>
      <x:c r="AE2" s="33"/>
      <x:c r="AF2" s="33"/>
      <x:c r="AG2" s="33"/>
      <x:c r="AH2" s="33"/>
      <x:c r="AI2" s="30" t="n">
        <x:v>0</x:v>
      </x:c>
      <x:c r="AJ2" s="30" t="n">
        <x:v>0</x:v>
      </x:c>
      <x:c r="AK2" s="30" t="n">
        <x:v>0</x:v>
      </x:c>
      <x:c r="AL2" s="30" t="n">
        <x:v>0</x:v>
      </x:c>
      <x:c r="AM2" s="30" t="n">
        <x:v>183.33070766056065</x:v>
      </x:c>
      <x:c r="AN2" s="35" t="n">
        <x:f>IFERROR(AI2/AM2,"")</x:f>
        <x:v>0</x:v>
      </x:c>
      <x:c r="AO2" s="35" t="n">
        <x:f>IFERROR(AJ2/AM2,"")</x:f>
        <x:v>0</x:v>
      </x:c>
      <x:c r="AP2" s="35" t="n">
        <x:f>IFERROR(AK2/AM2,"")</x:f>
        <x:v>0</x:v>
      </x:c>
      <x:c r="AQ2" s="35" t="n">
        <x:f>IFERROR(AL2/AM2,"")</x:f>
        <x:v>0</x:v>
      </x:c>
      <x:c r="AR2" s="30" t="n">
        <x:v>0</x:v>
      </x:c>
      <x:c r="AS2" s="30" t="n">
        <x:v>0</x:v>
      </x:c>
      <x:c r="AT2" s="30" t="n">
        <x:v>0</x:v>
      </x:c>
      <x:c r="AU2" s="30" t="n">
        <x:v>0</x:v>
      </x:c>
      <x:c r="AV2" s="30" t="n">
        <x:v>0</x:v>
      </x:c>
      <x:c r="AW2" s="44" t="str">
        <x:v>matrix mean; seeds=940201,940202,940203</x:v>
      </x:c>
    </x:row>
    <x:row r="3">
      <x:c r="A3" s="30" t="str">
        <x:v>YCSB low</x:v>
      </x:c>
      <x:c r="B3" s="31" t="n">
        <x:v>1</x:v>
      </x:c>
      <x:c r="C3" s="30" t="n">
        <x:v>16</x:v>
      </x:c>
      <x:c r="D3" s="30" t="n">
        <x:v>16</x:v>
      </x:c>
      <x:c r="E3" s="30" t="n">
        <x:v>0</x:v>
      </x:c>
      <x:c r="F3" s="30" t="n">
        <x:v>3</x:v>
      </x:c>
      <x:c r="G3" s="30" t="str">
        <x:v>matrix_mean</x:v>
      </x:c>
      <x:c r="H3" s="32" t="n">
        <x:v>136.6666667</x:v>
      </x:c>
      <x:c r="I3" s="33" t="n">
        <x:v>0.01108079677</x:v>
      </x:c>
      <x:c r="J3" s="32" t="n">
        <x:v>137.0666667</x:v>
      </x:c>
      <x:c r="K3" s="32" t="str">
        <x:v>OCC</x:v>
      </x:c>
      <x:c r="L3" s="34" t="n">
        <x:f>IFERROR(H3/J3,"")</x:f>
        <x:v>0.9970817120629665</x:v>
      </x:c>
      <x:c r="M3" s="32" t="n">
        <x:v>136.6666667</x:v>
      </x:c>
      <x:c r="N3" s="32" t="n">
        <x:v>137.0666667</x:v>
      </x:c>
      <x:c r="O3" s="32" t="str">
        <x:v>OCC</x:v>
      </x:c>
      <x:c r="P3" s="34" t="n">
        <x:f>IFERROR(M3/N3,"")</x:f>
        <x:v>0.9970817120629665</x:v>
      </x:c>
      <x:c r="Q3" s="32" t="n">
        <x:v>0</x:v>
      </x:c>
      <x:c r="R3" s="32"/>
      <x:c r="S3" s="32" t="str"/>
      <x:c r="T3" s="34" t="str">
        <x:f>IFERROR(Q3/R3,"")</x:f>
      </x:c>
      <x:c r="U3" s="33" t="n">
        <x:v>0</x:v>
      </x:c>
      <x:c r="V3" s="33" t="n">
        <x:v>0</x:v>
      </x:c>
      <x:c r="W3" s="33" t="n">
        <x:f>IFERROR(U3-V3,"")</x:f>
        <x:v>0</x:v>
      </x:c>
      <x:c r="X3" s="30" t="n">
        <x:v>151.435581</x:v>
      </x:c>
      <x:c r="Y3" s="30" t="n">
        <x:v>150.1672884</x:v>
      </x:c>
      <x:c r="Z3" s="33" t="n">
        <x:f>IFERROR(1-X3/Y3,"")</x:f>
        <x:v>-0.008445864698719774</x:v>
      </x:c>
      <x:c r="AA3" s="30" t="n">
        <x:v>27030</x:v>
      </x:c>
      <x:c r="AB3" s="30" t="n">
        <x:v>27030</x:v>
      </x:c>
      <x:c r="AC3" s="33" t="n">
        <x:f>IFERROR(1-AA3/AB3,"")</x:f>
        <x:v>0</x:v>
      </x:c>
      <x:c r="AD3" s="33" t="n">
        <x:f>IFERROR(H3/H2-1,"")</x:f>
        <x:v>0.9486692020888152</x:v>
      </x:c>
      <x:c r="AE3" s="33" t="str">
        <x:f>IF(AD3&lt;-0.1,"drop &gt;10%",IF(AND(C3&gt;16,AD3&gt;0.5),"jump &gt;50%",""))</x:f>
      </x:c>
      <x:c r="AF3" s="33" t="n">
        <x:f>IFERROR(M3/M2-1,"")</x:f>
        <x:v>0.9486692020888152</x:v>
      </x:c>
      <x:c r="AG3" s="33" t="str">
        <x:f>IFERROR(Q3/Q2-1,"")</x:f>
      </x:c>
      <x:c r="AH3" s="33" t="n">
        <x:f>IFERROR(X3/X2-1,"")</x:f>
        <x:v>0.0064519647163294724</x:v>
      </x:c>
      <x:c r="AI3" s="30" t="n">
        <x:v>0</x:v>
      </x:c>
      <x:c r="AJ3" s="30" t="n">
        <x:v>0</x:v>
      </x:c>
      <x:c r="AK3" s="30" t="n">
        <x:v>0</x:v>
      </x:c>
      <x:c r="AL3" s="30" t="n">
        <x:v>0</x:v>
      </x:c>
      <x:c r="AM3" s="30" t="n">
        <x:v>357.6612425629666</x:v>
      </x:c>
      <x:c r="AN3" s="35" t="n">
        <x:f>IFERROR(AI3/AM3,"")</x:f>
        <x:v>0</x:v>
      </x:c>
      <x:c r="AO3" s="35" t="n">
        <x:f>IFERROR(AJ3/AM3,"")</x:f>
        <x:v>0</x:v>
      </x:c>
      <x:c r="AP3" s="35" t="n">
        <x:f>IFERROR(AK3/AM3,"")</x:f>
        <x:v>0</x:v>
      </x:c>
      <x:c r="AQ3" s="35" t="n">
        <x:f>IFERROR(AL3/AM3,"")</x:f>
        <x:v>0</x:v>
      </x:c>
      <x:c r="AR3" s="30" t="n">
        <x:v>0</x:v>
      </x:c>
      <x:c r="AS3" s="30" t="n">
        <x:v>0</x:v>
      </x:c>
      <x:c r="AT3" s="30" t="n">
        <x:v>0</x:v>
      </x:c>
      <x:c r="AU3" s="30" t="n">
        <x:v>0</x:v>
      </x:c>
      <x:c r="AV3" s="30" t="n">
        <x:v>0</x:v>
      </x:c>
      <x:c r="AW3" s="44" t="str">
        <x:v>matrix mean; seeds=940201,940202,940203</x:v>
      </x:c>
    </x:row>
    <x:row r="4">
      <x:c r="A4" s="30" t="str">
        <x:v>YCSB low</x:v>
      </x:c>
      <x:c r="B4" s="31" t="n">
        <x:v>1</x:v>
      </x:c>
      <x:c r="C4" s="30" t="n">
        <x:v>24</x:v>
      </x:c>
      <x:c r="D4" s="30" t="n">
        <x:v>24</x:v>
      </x:c>
      <x:c r="E4" s="30" t="n">
        <x:v>0</x:v>
      </x:c>
      <x:c r="F4" s="30" t="n">
        <x:v>3</x:v>
      </x:c>
      <x:c r="G4" s="30" t="str">
        <x:v>matrix_mean</x:v>
      </x:c>
      <x:c r="H4" s="32" t="n">
        <x:v>200.1333333</x:v>
      </x:c>
      <x:c r="I4" s="33" t="n">
        <x:v>0.002307862502</x:v>
      </x:c>
      <x:c r="J4" s="32" t="n">
        <x:v>202.2666667</x:v>
      </x:c>
      <x:c r="K4" s="32" t="str">
        <x:v>Silo</x:v>
      </x:c>
      <x:c r="L4" s="34" t="n">
        <x:f>IFERROR(H4/J4,"")</x:f>
        <x:v>0.9894528671737882</x:v>
      </x:c>
      <x:c r="M4" s="32" t="n">
        <x:v>200.1333333</x:v>
      </x:c>
      <x:c r="N4" s="32" t="n">
        <x:v>202.2666667</x:v>
      </x:c>
      <x:c r="O4" s="32" t="str">
        <x:v>Silo</x:v>
      </x:c>
      <x:c r="P4" s="34" t="n">
        <x:f>IFERROR(M4/N4,"")</x:f>
        <x:v>0.9894528671737882</x:v>
      </x:c>
      <x:c r="Q4" s="32" t="n">
        <x:v>0</x:v>
      </x:c>
      <x:c r="R4" s="32"/>
      <x:c r="S4" s="32" t="str"/>
      <x:c r="T4" s="34" t="str">
        <x:f>IFERROR(Q4/R4,"")</x:f>
      </x:c>
      <x:c r="U4" s="33" t="n">
        <x:v>0</x:v>
      </x:c>
      <x:c r="V4" s="33" t="n">
        <x:v>0.0006242197253</x:v>
      </x:c>
      <x:c r="W4" s="33" t="n">
        <x:f>IFERROR(U4-V4,"")</x:f>
        <x:v>-0.0006242197253</x:v>
      </x:c>
      <x:c r="X4" s="30" t="n">
        <x:v>153.605126</x:v>
      </x:c>
      <x:c r="Y4" s="30" t="n">
        <x:v>151.9408851</x:v>
      </x:c>
      <x:c r="Z4" s="33" t="n">
        <x:f>IFERROR(1-X4/Y4,"")</x:f>
        <x:v>-0.010953213145393326</x:v>
      </x:c>
      <x:c r="AA4" s="30" t="n">
        <x:v>27030</x:v>
      </x:c>
      <x:c r="AB4" s="30" t="n">
        <x:v>27046.90432</x:v>
      </x:c>
      <x:c r="AC4" s="33" t="n">
        <x:f>IFERROR(1-AA4/AB4,"")</x:f>
        <x:v>0.0006250001774695813</x:v>
      </x:c>
      <x:c r="AD4" s="33" t="n">
        <x:f>IFERROR(H4/H3-1,"")</x:f>
        <x:v>0.46439024330136824</x:v>
      </x:c>
      <x:c r="AE4" s="33" t="str">
        <x:f>IF(AD4&lt;-0.1,"drop &gt;10%",IF(AND(C4&gt;16,AD4&gt;0.5),"jump &gt;50%",""))</x:f>
      </x:c>
      <x:c r="AF4" s="33" t="n">
        <x:f>IFERROR(M4/M3-1,"")</x:f>
        <x:v>0.46439024330136824</x:v>
      </x:c>
      <x:c r="AG4" s="33" t="str">
        <x:f>IFERROR(Q4/Q3-1,"")</x:f>
      </x:c>
      <x:c r="AH4" s="33" t="n">
        <x:f>IFERROR(X4/X3-1,"")</x:f>
        <x:v>0.014326520793022768</x:v>
      </x:c>
      <x:c r="AI4" s="30" t="n">
        <x:v>0</x:v>
      </x:c>
      <x:c r="AJ4" s="30" t="n">
        <x:v>0</x:v>
      </x:c>
      <x:c r="AK4" s="30" t="n">
        <x:v>0</x:v>
      </x:c>
      <x:c r="AL4" s="30" t="n">
        <x:v>0</x:v>
      </x:c>
      <x:c r="AM4" s="30" t="n">
        <x:v>524.3348489805604</x:v>
      </x:c>
      <x:c r="AN4" s="35" t="n">
        <x:f>IFERROR(AI4/AM4,"")</x:f>
        <x:v>0</x:v>
      </x:c>
      <x:c r="AO4" s="35" t="n">
        <x:f>IFERROR(AJ4/AM4,"")</x:f>
        <x:v>0</x:v>
      </x:c>
      <x:c r="AP4" s="35" t="n">
        <x:f>IFERROR(AK4/AM4,"")</x:f>
        <x:v>0</x:v>
      </x:c>
      <x:c r="AQ4" s="35" t="n">
        <x:f>IFERROR(AL4/AM4,"")</x:f>
        <x:v>0</x:v>
      </x:c>
      <x:c r="AR4" s="30" t="n">
        <x:v>0</x:v>
      </x:c>
      <x:c r="AS4" s="30" t="n">
        <x:v>0</x:v>
      </x:c>
      <x:c r="AT4" s="30" t="n">
        <x:v>0</x:v>
      </x:c>
      <x:c r="AU4" s="30" t="n">
        <x:v>0</x:v>
      </x:c>
      <x:c r="AV4" s="30" t="n">
        <x:v>0</x:v>
      </x:c>
      <x:c r="AW4" s="44" t="str">
        <x:v>matrix mean; seeds=940201,940202,940203</x:v>
      </x:c>
    </x:row>
    <x:row r="5">
      <x:c r="A5" s="30" t="str">
        <x:v>YCSB low</x:v>
      </x:c>
      <x:c r="B5" s="31" t="n">
        <x:v>1</x:v>
      </x:c>
      <x:c r="C5" s="30" t="n">
        <x:v>32</x:v>
      </x:c>
      <x:c r="D5" s="30" t="n">
        <x:v>32</x:v>
      </x:c>
      <x:c r="E5" s="30" t="n">
        <x:v>0</x:v>
      </x:c>
      <x:c r="F5" s="30" t="n">
        <x:v>3</x:v>
      </x:c>
      <x:c r="G5" s="30" t="str">
        <x:v>matrix_mean</x:v>
      </x:c>
      <x:c r="H5" s="32" t="n">
        <x:v>253.3333333</x:v>
      </x:c>
      <x:c r="I5" s="33" t="n">
        <x:v>0.01423973606</x:v>
      </x:c>
      <x:c r="J5" s="32" t="n">
        <x:v>258</x:v>
      </x:c>
      <x:c r="K5" s="32" t="str">
        <x:v>Silo</x:v>
      </x:c>
      <x:c r="L5" s="34" t="n">
        <x:f>IFERROR(H5/J5,"")</x:f>
        <x:v>0.9819121445736434</x:v>
      </x:c>
      <x:c r="M5" s="32" t="n">
        <x:v>253.3333333</x:v>
      </x:c>
      <x:c r="N5" s="32" t="n">
        <x:v>258</x:v>
      </x:c>
      <x:c r="O5" s="32" t="str">
        <x:v>Silo</x:v>
      </x:c>
      <x:c r="P5" s="34" t="n">
        <x:f>IFERROR(M5/N5,"")</x:f>
        <x:v>0.9819121445736434</x:v>
      </x:c>
      <x:c r="Q5" s="32" t="n">
        <x:v>0</x:v>
      </x:c>
      <x:c r="R5" s="32"/>
      <x:c r="S5" s="32" t="str"/>
      <x:c r="T5" s="34" t="str">
        <x:f>IFERROR(Q5/R5,"")</x:f>
      </x:c>
      <x:c r="U5" s="33" t="n">
        <x:v>0</x:v>
      </x:c>
      <x:c r="V5" s="33" t="n">
        <x:v>0</x:v>
      </x:c>
      <x:c r="W5" s="33" t="n">
        <x:f>IFERROR(U5-V5,"")</x:f>
        <x:v>0</x:v>
      </x:c>
      <x:c r="X5" s="30" t="n">
        <x:v>165.9408166</x:v>
      </x:c>
      <x:c r="Y5" s="30" t="n">
        <x:v>159.9711313</x:v>
      </x:c>
      <x:c r="Z5" s="33" t="n">
        <x:f>IFERROR(1-X5/Y5,"")</x:f>
        <x:v>-0.03731726625602727</x:v>
      </x:c>
      <x:c r="AA5" s="30" t="n">
        <x:v>27030</x:v>
      </x:c>
      <x:c r="AB5" s="30" t="n">
        <x:v>27030</x:v>
      </x:c>
      <x:c r="AC5" s="33" t="n">
        <x:f>IFERROR(1-AA5/AB5,"")</x:f>
        <x:v>0</x:v>
      </x:c>
      <x:c r="AD5" s="33" t="n">
        <x:f>IFERROR(H5/H4-1,"")</x:f>
        <x:v>0.2658227848544008</x:v>
      </x:c>
      <x:c r="AE5" s="33" t="str">
        <x:f>IF(AD5&lt;-0.1,"drop &gt;10%",IF(AND(C5&gt;16,AD5&gt;0.5),"jump &gt;50%",""))</x:f>
      </x:c>
      <x:c r="AF5" s="33" t="n">
        <x:f>IFERROR(M5/M4-1,"")</x:f>
        <x:v>0.2658227848544008</x:v>
      </x:c>
      <x:c r="AG5" s="33" t="str">
        <x:f>IFERROR(Q5/Q4-1,"")</x:f>
      </x:c>
      <x:c r="AH5" s="33" t="n">
        <x:f>IFERROR(X5/X4-1,"")</x:f>
        <x:v>0.08030780561320583</x:v>
      </x:c>
      <x:c r="AI5" s="30" t="n">
        <x:v>0</x:v>
      </x:c>
      <x:c r="AJ5" s="30" t="n">
        <x:v>0</x:v>
      </x:c>
      <x:c r="AK5" s="30" t="n">
        <x:v>0</x:v>
      </x:c>
      <x:c r="AL5" s="30" t="n">
        <x:v>0</x:v>
      </x:c>
      <x:c r="AM5" s="30" t="n">
        <x:v>665.3558373927239</x:v>
      </x:c>
      <x:c r="AN5" s="35" t="n">
        <x:f>IFERROR(AI5/AM5,"")</x:f>
        <x:v>0</x:v>
      </x:c>
      <x:c r="AO5" s="35" t="n">
        <x:f>IFERROR(AJ5/AM5,"")</x:f>
        <x:v>0</x:v>
      </x:c>
      <x:c r="AP5" s="35" t="n">
        <x:f>IFERROR(AK5/AM5,"")</x:f>
        <x:v>0</x:v>
      </x:c>
      <x:c r="AQ5" s="35" t="n">
        <x:f>IFERROR(AL5/AM5,"")</x:f>
        <x:v>0</x:v>
      </x:c>
      <x:c r="AR5" s="30" t="n">
        <x:v>0</x:v>
      </x:c>
      <x:c r="AS5" s="30" t="n">
        <x:v>0</x:v>
      </x:c>
      <x:c r="AT5" s="30" t="n">
        <x:v>0</x:v>
      </x:c>
      <x:c r="AU5" s="30" t="n">
        <x:v>0</x:v>
      </x:c>
      <x:c r="AV5" s="30" t="n">
        <x:v>0</x:v>
      </x:c>
      <x:c r="AW5" s="44" t="str">
        <x:v>matrix mean; seeds=940201,940202,940203</x:v>
      </x:c>
    </x:row>
    <x:row r="6">
      <x:c r="A6" s="30" t="str">
        <x:v>YCSB low</x:v>
      </x:c>
      <x:c r="B6" s="31" t="n">
        <x:v>1</x:v>
      </x:c>
      <x:c r="C6" s="30" t="n">
        <x:v>40</x:v>
      </x:c>
      <x:c r="D6" s="30" t="n">
        <x:v>40</x:v>
      </x:c>
      <x:c r="E6" s="30" t="n">
        <x:v>0</x:v>
      </x:c>
      <x:c r="F6" s="30" t="n">
        <x:v>3</x:v>
      </x:c>
      <x:c r="G6" s="30" t="str">
        <x:v>matrix_mean</x:v>
      </x:c>
      <x:c r="H6" s="32" t="n">
        <x:v>282.6666667</x:v>
      </x:c>
      <x:c r="I6" s="33" t="n">
        <x:v>0.07146343171</x:v>
      </x:c>
      <x:c r="J6" s="32" t="n">
        <x:v>288.6666667</x:v>
      </x:c>
      <x:c r="K6" s="32" t="str">
        <x:v>OCC</x:v>
      </x:c>
      <x:c r="L6" s="34" t="n">
        <x:f>IFERROR(H6/J6,"")</x:f>
        <x:v>0.979214780602862</x:v>
      </x:c>
      <x:c r="M6" s="32" t="n">
        <x:v>282.6666667</x:v>
      </x:c>
      <x:c r="N6" s="32" t="n">
        <x:v>288.6666667</x:v>
      </x:c>
      <x:c r="O6" s="32" t="str">
        <x:v>OCC</x:v>
      </x:c>
      <x:c r="P6" s="34" t="n">
        <x:f>IFERROR(M6/N6,"")</x:f>
        <x:v>0.979214780602862</x:v>
      </x:c>
      <x:c r="Q6" s="32" t="n">
        <x:v>0</x:v>
      </x:c>
      <x:c r="R6" s="32"/>
      <x:c r="S6" s="32" t="str"/>
      <x:c r="T6" s="34" t="str">
        <x:f>IFERROR(Q6/R6,"")</x:f>
      </x:c>
      <x:c r="U6" s="33" t="n">
        <x:v>0</x:v>
      </x:c>
      <x:c r="V6" s="33" t="n">
        <x:v>0</x:v>
      </x:c>
      <x:c r="W6" s="33" t="n">
        <x:f>IFERROR(U6-V6,"")</x:f>
        <x:v>0</x:v>
      </x:c>
      <x:c r="X6" s="30" t="n">
        <x:v>190.4364324</x:v>
      </x:c>
      <x:c r="Y6" s="30" t="n">
        <x:v>188.3180748</x:v>
      </x:c>
      <x:c r="Z6" s="33" t="n">
        <x:f>IFERROR(1-X6/Y6,"")</x:f>
        <x:v>-0.01124882782627079</x:v>
      </x:c>
      <x:c r="AA6" s="30" t="n">
        <x:v>27030</x:v>
      </x:c>
      <x:c r="AB6" s="30" t="n">
        <x:v>27030</x:v>
      </x:c>
      <x:c r="AC6" s="33" t="n">
        <x:f>IFERROR(1-AA6/AB6,"")</x:f>
        <x:v>0</x:v>
      </x:c>
      <x:c r="AD6" s="33" t="n">
        <x:f>IFERROR(H6/H5-1,"")</x:f>
        <x:v>0.11578947396260397</x:v>
      </x:c>
      <x:c r="AE6" s="33" t="str">
        <x:f>IF(AD6&lt;-0.1,"drop &gt;10%",IF(AND(C6&gt;16,AD6&gt;0.5),"jump &gt;50%",""))</x:f>
      </x:c>
      <x:c r="AF6" s="33" t="n">
        <x:f>IFERROR(M6/M5-1,"")</x:f>
        <x:v>0.11578947396260397</x:v>
      </x:c>
      <x:c r="AG6" s="33" t="str">
        <x:f>IFERROR(Q6/Q5-1,"")</x:f>
      </x:c>
      <x:c r="AH6" s="33" t="n">
        <x:f>IFERROR(X6/X5-1,"")</x:f>
        <x:v>0.1476165798258462</x:v>
      </x:c>
      <x:c r="AI6" s="30" t="n">
        <x:v>0</x:v>
      </x:c>
      <x:c r="AJ6" s="30" t="n">
        <x:v>0</x:v>
      </x:c>
      <x:c r="AK6" s="30" t="n">
        <x:v>0</x:v>
      </x:c>
      <x:c r="AL6" s="30" t="n">
        <x:v>0</x:v>
      </x:c>
      <x:c r="AM6" s="30" t="n">
        <x:v>746.5297725444923</x:v>
      </x:c>
      <x:c r="AN6" s="35" t="n">
        <x:f>IFERROR(AI6/AM6,"")</x:f>
        <x:v>0</x:v>
      </x:c>
      <x:c r="AO6" s="35" t="n">
        <x:f>IFERROR(AJ6/AM6,"")</x:f>
        <x:v>0</x:v>
      </x:c>
      <x:c r="AP6" s="35" t="n">
        <x:f>IFERROR(AK6/AM6,"")</x:f>
        <x:v>0</x:v>
      </x:c>
      <x:c r="AQ6" s="35" t="n">
        <x:f>IFERROR(AL6/AM6,"")</x:f>
        <x:v>0</x:v>
      </x:c>
      <x:c r="AR6" s="30" t="n">
        <x:v>0</x:v>
      </x:c>
      <x:c r="AS6" s="30" t="n">
        <x:v>0</x:v>
      </x:c>
      <x:c r="AT6" s="30" t="n">
        <x:v>0</x:v>
      </x:c>
      <x:c r="AU6" s="30" t="n">
        <x:v>0</x:v>
      </x:c>
      <x:c r="AV6" s="30" t="n">
        <x:v>0</x:v>
      </x:c>
      <x:c r="AW6" s="44" t="str">
        <x:v>matrix mean; seeds=940201,940202,940203</x:v>
      </x:c>
    </x:row>
    <x:row r="7">
      <x:c r="A7" s="30" t="str">
        <x:v>YCSB low</x:v>
      </x:c>
      <x:c r="B7" s="31" t="n">
        <x:v>0.8</x:v>
      </x:c>
      <x:c r="C7" s="30" t="n">
        <x:v>8</x:v>
      </x:c>
      <x:c r="D7" s="30" t="n">
        <x:v>6</x:v>
      </x:c>
      <x:c r="E7" s="30" t="n">
        <x:v>2</x:v>
      </x:c>
      <x:c r="F7" s="30" t="n">
        <x:v>3</x:v>
      </x:c>
      <x:c r="G7" s="30" t="str">
        <x:v>matrix_mean</x:v>
      </x:c>
      <x:c r="H7" s="32" t="n">
        <x:v>52.4</x:v>
      </x:c>
      <x:c r="I7" s="33" t="n">
        <x:v>0.01526717557</x:v>
      </x:c>
      <x:c r="J7" s="32" t="n">
        <x:v>30.26666667</x:v>
      </x:c>
      <x:c r="K7" s="32" t="str">
        <x:v>2PL-wait-die</x:v>
      </x:c>
      <x:c r="L7" s="34" t="n">
        <x:f>IFERROR(H7/J7,"")</x:f>
        <x:v>1.7312775328489782</x:v>
      </x:c>
      <x:c r="M7" s="32" t="n">
        <x:v>3361.6</x:v>
      </x:c>
      <x:c r="N7" s="32" t="n">
        <x:v>3385.066667</x:v>
      </x:c>
      <x:c r="O7" s="32" t="str">
        <x:v>OCC</x:v>
      </x:c>
      <x:c r="P7" s="34" t="n">
        <x:f>IFERROR(M7/N7,"")</x:f>
        <x:v>0.9930675908900791</x:v>
      </x:c>
      <x:c r="Q7" s="32" t="n">
        <x:v>3309.2</x:v>
      </x:c>
      <x:c r="R7" s="32" t="n">
        <x:v>3357.6</x:v>
      </x:c>
      <x:c r="S7" s="32" t="str">
        <x:v>OCC</x:v>
      </x:c>
      <x:c r="T7" s="34" t="n">
        <x:f>IFERROR(Q7/R7,"")</x:f>
        <x:v>0.9855849416249702</x:v>
      </x:c>
      <x:c r="U7" s="33" t="n">
        <x:v>0</x:v>
      </x:c>
      <x:c r="V7" s="33" t="n">
        <x:v>0</x:v>
      </x:c>
      <x:c r="W7" s="33" t="n">
        <x:f>IFERROR(U7-V7,"")</x:f>
        <x:v>0</x:v>
      </x:c>
      <x:c r="X7" s="30" t="n">
        <x:v>152.6638285</x:v>
      </x:c>
      <x:c r="Y7" s="30" t="n">
        <x:v>324.7146803</x:v>
      </x:c>
      <x:c r="Z7" s="33" t="n">
        <x:f>IFERROR(1-X7/Y7,"")</x:f>
        <x:v>0.5298523973139875</x:v>
      </x:c>
      <x:c r="AA7" s="30" t="n">
        <x:v>27030</x:v>
      </x:c>
      <x:c r="AB7" s="30" t="n">
        <x:v>27030</x:v>
      </x:c>
      <x:c r="AC7" s="33" t="n">
        <x:f>IFERROR(1-AA7/AB7,"")</x:f>
        <x:v>0</x:v>
      </x:c>
      <x:c r="AD7" s="33"/>
      <x:c r="AE7" s="33"/>
      <x:c r="AF7" s="33"/>
      <x:c r="AG7" s="33"/>
      <x:c r="AH7" s="33"/>
      <x:c r="AI7" s="30" t="n">
        <x:v>0</x:v>
      </x:c>
      <x:c r="AJ7" s="30" t="n">
        <x:v>0</x:v>
      </x:c>
      <x:c r="AK7" s="30" t="n">
        <x:v>0</x:v>
      </x:c>
      <x:c r="AL7" s="30" t="n">
        <x:v>0</x:v>
      </x:c>
      <x:c r="AM7" s="30" t="n">
        <x:v>8411.193355800413</x:v>
      </x:c>
      <x:c r="AN7" s="35" t="n">
        <x:f>IFERROR(AI7/AM7,"")</x:f>
        <x:v>0</x:v>
      </x:c>
      <x:c r="AO7" s="35" t="n">
        <x:f>IFERROR(AJ7/AM7,"")</x:f>
        <x:v>0</x:v>
      </x:c>
      <x:c r="AP7" s="35" t="n">
        <x:f>IFERROR(AK7/AM7,"")</x:f>
        <x:v>0</x:v>
      </x:c>
      <x:c r="AQ7" s="35" t="n">
        <x:f>IFERROR(AL7/AM7,"")</x:f>
        <x:v>0</x:v>
      </x:c>
      <x:c r="AR7" s="30" t="n">
        <x:v>0</x:v>
      </x:c>
      <x:c r="AS7" s="30" t="n">
        <x:v>0</x:v>
      </x:c>
      <x:c r="AT7" s="30" t="n">
        <x:v>0</x:v>
      </x:c>
      <x:c r="AU7" s="30" t="n">
        <x:v>0</x:v>
      </x:c>
      <x:c r="AV7" s="30" t="n">
        <x:v>0</x:v>
      </x:c>
      <x:c r="AW7" s="44" t="str">
        <x:v>matrix mean; seeds=940201,940202,940203</x:v>
      </x:c>
    </x:row>
    <x:row r="8">
      <x:c r="A8" s="30" t="str">
        <x:v>YCSB low</x:v>
      </x:c>
      <x:c r="B8" s="31" t="n">
        <x:v>0.8</x:v>
      </x:c>
      <x:c r="C8" s="30" t="n">
        <x:v>16</x:v>
      </x:c>
      <x:c r="D8" s="30" t="n">
        <x:v>13</x:v>
      </x:c>
      <x:c r="E8" s="30" t="n">
        <x:v>3</x:v>
      </x:c>
      <x:c r="F8" s="30" t="n">
        <x:v>3</x:v>
      </x:c>
      <x:c r="G8" s="30" t="str">
        <x:v>matrix_mean</x:v>
      </x:c>
      <x:c r="H8" s="32" t="n">
        <x:v>103.3333333</x:v>
      </x:c>
      <x:c r="I8" s="33" t="n">
        <x:v>0.005913000897</x:v>
      </x:c>
      <x:c r="J8" s="32" t="n">
        <x:v>87.06666667</x:v>
      </x:c>
      <x:c r="K8" s="32" t="str">
        <x:v>OCC</x:v>
      </x:c>
      <x:c r="L8" s="34" t="n">
        <x:f>IFERROR(H8/J8,"")</x:f>
        <x:v>1.1868300148856497</x:v>
      </x:c>
      <x:c r="M8" s="32" t="n">
        <x:v>1564.8</x:v>
      </x:c>
      <x:c r="N8" s="32" t="n">
        <x:v>1194.933333</x:v>
      </x:c>
      <x:c r="O8" s="32" t="str">
        <x:v>OCC</x:v>
      </x:c>
      <x:c r="P8" s="34" t="n">
        <x:f>IFERROR(M8/N8,"")</x:f>
        <x:v>1.3095291233289246</x:v>
      </x:c>
      <x:c r="Q8" s="32" t="n">
        <x:v>1461.466667</x:v>
      </x:c>
      <x:c r="R8" s="32" t="n">
        <x:v>1107.866667</x:v>
      </x:c>
      <x:c r="S8" s="32" t="str">
        <x:v>OCC</x:v>
      </x:c>
      <x:c r="T8" s="34" t="n">
        <x:f>IFERROR(Q8/R8,"")</x:f>
        <x:v>1.3191719820919567</x:v>
      </x:c>
      <x:c r="U8" s="33" t="n">
        <x:v>0</x:v>
      </x:c>
      <x:c r="V8" s="33" t="n">
        <x:v>0</x:v>
      </x:c>
      <x:c r="W8" s="33" t="n">
        <x:f>IFERROR(U8-V8,"")</x:f>
        <x:v>0</x:v>
      </x:c>
      <x:c r="X8" s="30" t="n">
        <x:v>161.7340399</x:v>
      </x:c>
      <x:c r="Y8" s="30" t="n">
        <x:v>194.6200117</x:v>
      </x:c>
      <x:c r="Z8" s="33" t="n">
        <x:f>IFERROR(1-X8/Y8,"")</x:f>
        <x:v>0.16897528426158237</x:v>
      </x:c>
      <x:c r="AA8" s="30" t="n">
        <x:v>27030</x:v>
      </x:c>
      <x:c r="AB8" s="30" t="n">
        <x:v>27030</x:v>
      </x:c>
      <x:c r="AC8" s="33" t="n">
        <x:f>IFERROR(1-AA8/AB8,"")</x:f>
        <x:v>0</x:v>
      </x:c>
      <x:c r="AD8" s="33" t="n">
        <x:f>IFERROR(H8/H7-1,"")</x:f>
        <x:v>0.9720101774809162</x:v>
      </x:c>
      <x:c r="AE8" s="33" t="str">
        <x:f>IF(AD8&lt;-0.1,"drop &gt;10%",IF(AND(C8&gt;16,AD8&gt;0.5),"jump &gt;50%",""))</x:f>
      </x:c>
      <x:c r="AF8" s="33" t="n">
        <x:f>IFERROR(M8/M7-1,"")</x:f>
        <x:v>-0.5345073774393145</x:v>
      </x:c>
      <x:c r="AG8" s="33" t="n">
        <x:f>IFERROR(Q8/Q7-1,"")</x:f>
        <x:v>-0.5583625447238003</x:v>
      </x:c>
      <x:c r="AH8" s="33" t="n">
        <x:f>IFERROR(X8/X7-1,"")</x:f>
        <x:v>0.059412969588929165</x:v>
      </x:c>
      <x:c r="AI8" s="30" t="n">
        <x:v>0</x:v>
      </x:c>
      <x:c r="AJ8" s="30" t="n">
        <x:v>0</x:v>
      </x:c>
      <x:c r="AK8" s="30" t="n">
        <x:v>0</x:v>
      </x:c>
      <x:c r="AL8" s="30" t="n">
        <x:v>0</x:v>
      </x:c>
      <x:c r="AM8" s="30" t="n">
        <x:v>3928.2497819820032</x:v>
      </x:c>
      <x:c r="AN8" s="35" t="n">
        <x:f>IFERROR(AI8/AM8,"")</x:f>
        <x:v>0</x:v>
      </x:c>
      <x:c r="AO8" s="35" t="n">
        <x:f>IFERROR(AJ8/AM8,"")</x:f>
        <x:v>0</x:v>
      </x:c>
      <x:c r="AP8" s="35" t="n">
        <x:f>IFERROR(AK8/AM8,"")</x:f>
        <x:v>0</x:v>
      </x:c>
      <x:c r="AQ8" s="35" t="n">
        <x:f>IFERROR(AL8/AM8,"")</x:f>
        <x:v>0</x:v>
      </x:c>
      <x:c r="AR8" s="30" t="n">
        <x:v>0</x:v>
      </x:c>
      <x:c r="AS8" s="30" t="n">
        <x:v>0</x:v>
      </x:c>
      <x:c r="AT8" s="30" t="n">
        <x:v>0</x:v>
      </x:c>
      <x:c r="AU8" s="30" t="n">
        <x:v>0</x:v>
      </x:c>
      <x:c r="AV8" s="30" t="n">
        <x:v>0</x:v>
      </x:c>
      <x:c r="AW8" s="44" t="str">
        <x:v>matrix mean; seeds=940201,940202,940203</x:v>
      </x:c>
    </x:row>
    <x:row r="9">
      <x:c r="A9" s="30" t="str">
        <x:v>YCSB low</x:v>
      </x:c>
      <x:c r="B9" s="31" t="n">
        <x:v>0.8</x:v>
      </x:c>
      <x:c r="C9" s="30" t="n">
        <x:v>24</x:v>
      </x:c>
      <x:c r="D9" s="30" t="n">
        <x:v>19</x:v>
      </x:c>
      <x:c r="E9" s="30" t="n">
        <x:v>5</x:v>
      </x:c>
      <x:c r="F9" s="30" t="n">
        <x:v>3</x:v>
      </x:c>
      <x:c r="G9" s="30" t="str">
        <x:v>matrix_mean</x:v>
      </x:c>
      <x:c r="H9" s="32" t="n">
        <x:v>134.1333333</x:v>
      </x:c>
      <x:c r="I9" s="33" t="n">
        <x:v>0.006207751489</x:v>
      </x:c>
      <x:c r="J9" s="32" t="n">
        <x:v>99.6</x:v>
      </x:c>
      <x:c r="K9" s="32" t="str">
        <x:v>Polaris</x:v>
      </x:c>
      <x:c r="L9" s="34" t="n">
        <x:f>IFERROR(H9/J9,"")</x:f>
        <x:v>1.3467202138554217</x:v>
      </x:c>
      <x:c r="M9" s="32" t="n">
        <x:v>1182.666667</x:v>
      </x:c>
      <x:c r="N9" s="32" t="n">
        <x:v>662.2666667</x:v>
      </x:c>
      <x:c r="O9" s="32" t="str">
        <x:v>Silo</x:v>
      </x:c>
      <x:c r="P9" s="34" t="n">
        <x:f>IFERROR(M9/N9,"")</x:f>
        <x:v>1.7857861892598255</x:v>
      </x:c>
      <x:c r="Q9" s="32" t="n">
        <x:v>1048.533333</x:v>
      </x:c>
      <x:c r="R9" s="32" t="n">
        <x:v>563.7333333</x:v>
      </x:c>
      <x:c r="S9" s="32" t="str">
        <x:v>Silo</x:v>
      </x:c>
      <x:c r="T9" s="34" t="n">
        <x:f>IFERROR(Q9/R9,"")</x:f>
        <x:v>1.8599810780428088</x:v>
      </x:c>
      <x:c r="U9" s="33" t="n">
        <x:v>0</x:v>
      </x:c>
      <x:c r="V9" s="33" t="n">
        <x:v>0</x:v>
      </x:c>
      <x:c r="W9" s="33" t="n">
        <x:f>IFERROR(U9-V9,"")</x:f>
        <x:v>0</x:v>
      </x:c>
      <x:c r="X9" s="30" t="n">
        <x:v>181.3193621</x:v>
      </x:c>
      <x:c r="Y9" s="30" t="n">
        <x:v>277.0292056</x:v>
      </x:c>
      <x:c r="Z9" s="33" t="n">
        <x:f>IFERROR(1-X9/Y9,"")</x:f>
        <x:v>0.3454864742246512</x:v>
      </x:c>
      <x:c r="AA9" s="30" t="n">
        <x:v>27030</x:v>
      </x:c>
      <x:c r="AB9" s="30" t="n">
        <x:v>27030</x:v>
      </x:c>
      <x:c r="AC9" s="33" t="n">
        <x:f>IFERROR(1-AA9/AB9,"")</x:f>
        <x:v>0</x:v>
      </x:c>
      <x:c r="AD9" s="33" t="n">
        <x:f>IFERROR(H9/H8-1,"")</x:f>
        <x:v>0.29806451622518204</x:v>
      </x:c>
      <x:c r="AE9" s="33" t="str">
        <x:f>IF(AD9&lt;-0.1,"drop &gt;10%",IF(AND(C9&gt;16,AD9&gt;0.5),"jump &gt;50%",""))</x:f>
      </x:c>
      <x:c r="AF9" s="33" t="n">
        <x:f>IFERROR(M9/M8-1,"")</x:f>
        <x:v>-0.24420586209100204</x:v>
      </x:c>
      <x:c r="AG9" s="33" t="n">
        <x:f>IFERROR(Q9/Q8-1,"")</x:f>
        <x:v>-0.2825472132372622</x:v>
      </x:c>
      <x:c r="AH9" s="33" t="n">
        <x:f>IFERROR(X9/X8-1,"")</x:f>
        <x:v>0.12109585719932303</x:v>
      </x:c>
      <x:c r="AI9" s="30" t="n">
        <x:v>0</x:v>
      </x:c>
      <x:c r="AJ9" s="30" t="n">
        <x:v>0</x:v>
      </x:c>
      <x:c r="AK9" s="30" t="n">
        <x:v>0</x:v>
      </x:c>
      <x:c r="AL9" s="30" t="n">
        <x:v>0</x:v>
      </x:c>
      <x:c r="AM9" s="30" t="n">
        <x:v>2980.33618546438</x:v>
      </x:c>
      <x:c r="AN9" s="35" t="n">
        <x:f>IFERROR(AI9/AM9,"")</x:f>
        <x:v>0</x:v>
      </x:c>
      <x:c r="AO9" s="35" t="n">
        <x:f>IFERROR(AJ9/AM9,"")</x:f>
        <x:v>0</x:v>
      </x:c>
      <x:c r="AP9" s="35" t="n">
        <x:f>IFERROR(AK9/AM9,"")</x:f>
        <x:v>0</x:v>
      </x:c>
      <x:c r="AQ9" s="35" t="n">
        <x:f>IFERROR(AL9/AM9,"")</x:f>
        <x:v>0</x:v>
      </x:c>
      <x:c r="AR9" s="30" t="n">
        <x:v>0</x:v>
      </x:c>
      <x:c r="AS9" s="30" t="n">
        <x:v>0</x:v>
      </x:c>
      <x:c r="AT9" s="30" t="n">
        <x:v>0</x:v>
      </x:c>
      <x:c r="AU9" s="30" t="n">
        <x:v>0</x:v>
      </x:c>
      <x:c r="AV9" s="30" t="n">
        <x:v>0</x:v>
      </x:c>
      <x:c r="AW9" s="44" t="str">
        <x:v>matrix mean; seeds=940201,940202,940203</x:v>
      </x:c>
    </x:row>
    <x:row r="10">
      <x:c r="A10" s="30" t="str">
        <x:v>YCSB low</x:v>
      </x:c>
      <x:c r="B10" s="31" t="n">
        <x:v>0.8</x:v>
      </x:c>
      <x:c r="C10" s="30" t="n">
        <x:v>32</x:v>
      </x:c>
      <x:c r="D10" s="30" t="n">
        <x:v>26</x:v>
      </x:c>
      <x:c r="E10" s="30" t="n">
        <x:v>6</x:v>
      </x:c>
      <x:c r="F10" s="30" t="n">
        <x:v>3</x:v>
      </x:c>
      <x:c r="G10" s="30" t="str">
        <x:v>matrix_mean</x:v>
      </x:c>
      <x:c r="H10" s="32" t="n">
        <x:v>162.6666667</x:v>
      </x:c>
      <x:c r="I10" s="33" t="n">
        <x:v>0.02719780332</x:v>
      </x:c>
      <x:c r="J10" s="32" t="n">
        <x:v>120.9333333</x:v>
      </x:c>
      <x:c r="K10" s="32" t="str">
        <x:v>Silo</x:v>
      </x:c>
      <x:c r="L10" s="34" t="n">
        <x:f>IFERROR(H10/J10,"")</x:f>
        <x:v>1.3450937161921428</x:v>
      </x:c>
      <x:c r="M10" s="32" t="n">
        <x:v>931.4666667</x:v>
      </x:c>
      <x:c r="N10" s="32" t="n">
        <x:v>597.4666667</x:v>
      </x:c>
      <x:c r="O10" s="32" t="str">
        <x:v>OCC</x:v>
      </x:c>
      <x:c r="P10" s="34" t="n">
        <x:f>IFERROR(M10/N10,"")</x:f>
        <x:v>1.5590270028699493</x:v>
      </x:c>
      <x:c r="Q10" s="32" t="n">
        <x:v>768.8</x:v>
      </x:c>
      <x:c r="R10" s="32" t="n">
        <x:v>477.4666667</x:v>
      </x:c>
      <x:c r="S10" s="32" t="str">
        <x:v>OCC</x:v>
      </x:c>
      <x:c r="T10" s="34" t="n">
        <x:f>IFERROR(Q10/R10,"")</x:f>
        <x:v>1.6101647583349505</x:v>
      </x:c>
      <x:c r="U10" s="33" t="n">
        <x:v>0.0007898894155</x:v>
      </x:c>
      <x:c r="V10" s="33" t="n">
        <x:v>0</x:v>
      </x:c>
      <x:c r="W10" s="33" t="n">
        <x:f>IFERROR(U10-V10,"")</x:f>
        <x:v>0.0007898894155</x:v>
      </x:c>
      <x:c r="X10" s="30" t="n">
        <x:v>209.3009564</x:v>
      </x:c>
      <x:c r="Y10" s="30" t="n">
        <x:v>310.9950102</x:v>
      </x:c>
      <x:c r="Z10" s="33" t="n">
        <x:f>IFERROR(1-X10/Y10,"")</x:f>
        <x:v>0.3269957731302533</x:v>
      </x:c>
      <x:c r="AA10" s="30" t="n">
        <x:v>27051.40143</x:v>
      </x:c>
      <x:c r="AB10" s="30" t="n">
        <x:v>27030</x:v>
      </x:c>
      <x:c r="AC10" s="33" t="n">
        <x:f>IFERROR(1-AA10/AB10,"")</x:f>
        <x:v>-0.000791765815760348</x:v>
      </x:c>
      <x:c r="AD10" s="33" t="n">
        <x:f>IFERROR(H10/H9-1,"")</x:f>
        <x:v>0.2127236586015715</x:v>
      </x:c>
      <x:c r="AE10" s="33" t="str">
        <x:f>IF(AD10&lt;-0.1,"drop &gt;10%",IF(AND(C10&gt;16,AD10&gt;0.5),"jump &gt;50%",""))</x:f>
      </x:c>
      <x:c r="AF10" s="33" t="n">
        <x:f>IFERROR(M10/M9-1,"")</x:f>
        <x:v>-0.21240135306865793</x:v>
      </x:c>
      <x:c r="AG10" s="33" t="n">
        <x:f>IFERROR(Q10/Q9-1,"")</x:f>
        <x:v>-0.2667853507333372</x:v>
      </x:c>
      <x:c r="AH10" s="33" t="n">
        <x:f>IFERROR(X10/X9-1,"")</x:f>
        <x:v>0.15432215278017458</x:v>
      </x:c>
      <x:c r="AI10" s="30" t="n">
        <x:v>0.3333333333</x:v>
      </x:c>
      <x:c r="AJ10" s="30" t="n">
        <x:v>0</x:v>
      </x:c>
      <x:c r="AK10" s="30" t="n">
        <x:v>0.3333333333</x:v>
      </x:c>
      <x:c r="AL10" s="30" t="n">
        <x:v>0.3333333333</x:v>
      </x:c>
      <x:c r="AM10" s="30" t="n">
        <x:v>2577.2928036400563</x:v>
      </x:c>
      <x:c r="AN10" s="35" t="n">
        <x:f>IFERROR(AI10/AM10,"")</x:f>
        <x:v>0.00012933467739063815</x:v>
      </x:c>
      <x:c r="AO10" s="35" t="n">
        <x:f>IFERROR(AJ10/AM10,"")</x:f>
        <x:v>0</x:v>
      </x:c>
      <x:c r="AP10" s="35" t="n">
        <x:f>IFERROR(AK10/AM10,"")</x:f>
        <x:v>0.00012933467739063815</x:v>
      </x:c>
      <x:c r="AQ10" s="35" t="n">
        <x:f>IFERROR(AL10/AM10,"")</x:f>
        <x:v>0.00012933467739063815</x:v>
      </x:c>
      <x:c r="AR10" s="30" t="n">
        <x:v>32</x:v>
      </x:c>
      <x:c r="AS10" s="30" t="n">
        <x:v>0</x:v>
      </x:c>
      <x:c r="AT10" s="30" t="n">
        <x:v>0</x:v>
      </x:c>
      <x:c r="AU10" s="30" t="n">
        <x:v>0</x:v>
      </x:c>
      <x:c r="AV10" s="30" t="n">
        <x:v>0.3333333333</x:v>
      </x:c>
      <x:c r="AW10" s="44" t="str">
        <x:v>matrix mean; seeds=940201,940202,940203</x:v>
      </x:c>
    </x:row>
    <x:row r="11">
      <x:c r="A11" s="30" t="str">
        <x:v>YCSB low</x:v>
      </x:c>
      <x:c r="B11" s="31" t="n">
        <x:v>0.8</x:v>
      </x:c>
      <x:c r="C11" s="30" t="n">
        <x:v>40</x:v>
      </x:c>
      <x:c r="D11" s="30" t="n">
        <x:v>32</x:v>
      </x:c>
      <x:c r="E11" s="30" t="n">
        <x:v>8</x:v>
      </x:c>
      <x:c r="F11" s="30" t="n">
        <x:v>3</x:v>
      </x:c>
      <x:c r="G11" s="30" t="str">
        <x:v>matrix_mean</x:v>
      </x:c>
      <x:c r="H11" s="32" t="n">
        <x:v>180.4</x:v>
      </x:c>
      <x:c r="I11" s="33" t="n">
        <x:v>0.009664964398</x:v>
      </x:c>
      <x:c r="J11" s="32" t="n">
        <x:v>131.3333333</x:v>
      </x:c>
      <x:c r="K11" s="32" t="str">
        <x:v>OCC</x:v>
      </x:c>
      <x:c r="L11" s="34" t="n">
        <x:f>IFERROR(H11/J11,"")</x:f>
        <x:v>1.3736040612623361</x:v>
      </x:c>
      <x:c r="M11" s="32" t="n">
        <x:v>801.8666667</x:v>
      </x:c>
      <x:c r="N11" s="32" t="n">
        <x:v>595.2</x:v>
      </x:c>
      <x:c r="O11" s="32" t="str">
        <x:v>OCC</x:v>
      </x:c>
      <x:c r="P11" s="34" t="n">
        <x:f>IFERROR(M11/N11,"")</x:f>
        <x:v>1.3472222222782257</x:v>
      </x:c>
      <x:c r="Q11" s="32" t="n">
        <x:v>621.4666667</x:v>
      </x:c>
      <x:c r="R11" s="32" t="n">
        <x:v>463.8666667</x:v>
      </x:c>
      <x:c r="S11" s="32" t="str">
        <x:v>OCC</x:v>
      </x:c>
      <x:c r="T11" s="34" t="n">
        <x:f>IFERROR(Q11/R11,"")</x:f>
        <x:v>1.339752802505048</x:v>
      </x:c>
      <x:c r="U11" s="33" t="n">
        <x:v>0</x:v>
      </x:c>
      <x:c r="V11" s="33" t="n">
        <x:v>0.0009132420091</x:v>
      </x:c>
      <x:c r="W11" s="33" t="n">
        <x:f>IFERROR(U11-V11,"")</x:f>
        <x:v>-0.0009132420091</x:v>
      </x:c>
      <x:c r="X11" s="30" t="n">
        <x:v>250.2298704</x:v>
      </x:c>
      <x:c r="Y11" s="30" t="n">
        <x:v>364.1190865</x:v>
      </x:c>
      <x:c r="Z11" s="33" t="n">
        <x:f>IFERROR(1-X11/Y11,"")</x:f>
        <x:v>0.3127801324416427</x:v>
      </x:c>
      <x:c r="AA11" s="30" t="n">
        <x:v>27030</x:v>
      </x:c>
      <x:c r="AB11" s="30" t="n">
        <x:v>27054.75275</x:v>
      </x:c>
      <x:c r="AC11" s="33" t="n">
        <x:f>IFERROR(1-AA11/AB11,"")</x:f>
        <x:v>0.0009149131847083769</x:v>
      </x:c>
      <x:c r="AD11" s="33" t="n">
        <x:f>IFERROR(H11/H10-1,"")</x:f>
        <x:v>0.10901639321536538</x:v>
      </x:c>
      <x:c r="AE11" s="33" t="str">
        <x:f>IF(AD11&lt;-0.1,"drop &gt;10%",IF(AND(C11&gt;16,AD11&gt;0.5),"jump &gt;50%",""))</x:f>
      </x:c>
      <x:c r="AF11" s="33" t="n">
        <x:f>IFERROR(M11/M10-1,"")</x:f>
        <x:v>-0.13913541367953286</x:v>
      </x:c>
      <x:c r="AG11" s="33" t="n">
        <x:f>IFERROR(Q11/Q10-1,"")</x:f>
        <x:v>-0.1916406520551508</x:v>
      </x:c>
      <x:c r="AH11" s="33" t="n">
        <x:f>IFERROR(X11/X10-1,"")</x:f>
        <x:v>0.19555053499984876</x:v>
      </x:c>
      <x:c r="AI11" s="30" t="n">
        <x:v>0</x:v>
      </x:c>
      <x:c r="AJ11" s="30" t="n">
        <x:v>0</x:v>
      </x:c>
      <x:c r="AK11" s="30" t="n">
        <x:v>0</x:v>
      </x:c>
      <x:c r="AL11" s="30" t="n">
        <x:v>0</x:v>
      </x:c>
      <x:c r="AM11" s="30" t="n">
        <x:v>2044.724062081206</x:v>
      </x:c>
      <x:c r="AN11" s="35" t="n">
        <x:f>IFERROR(AI11/AM11,"")</x:f>
        <x:v>0</x:v>
      </x:c>
      <x:c r="AO11" s="35" t="n">
        <x:f>IFERROR(AJ11/AM11,"")</x:f>
        <x:v>0</x:v>
      </x:c>
      <x:c r="AP11" s="35" t="n">
        <x:f>IFERROR(AK11/AM11,"")</x:f>
        <x:v>0</x:v>
      </x:c>
      <x:c r="AQ11" s="35" t="n">
        <x:f>IFERROR(AL11/AM11,"")</x:f>
        <x:v>0</x:v>
      </x:c>
      <x:c r="AR11" s="30" t="n">
        <x:v>0</x:v>
      </x:c>
      <x:c r="AS11" s="30" t="n">
        <x:v>0</x:v>
      </x:c>
      <x:c r="AT11" s="30" t="n">
        <x:v>0</x:v>
      </x:c>
      <x:c r="AU11" s="30" t="n">
        <x:v>0</x:v>
      </x:c>
      <x:c r="AV11" s="30" t="n">
        <x:v>0</x:v>
      </x:c>
      <x:c r="AW11" s="44" t="str">
        <x:v>matrix mean; seeds=940201,940202,940203</x:v>
      </x:c>
    </x:row>
    <x:row r="12">
      <x:c r="A12" s="30" t="str">
        <x:v>YCSB medium</x:v>
      </x:c>
      <x:c r="B12" s="31" t="n">
        <x:v>1</x:v>
      </x:c>
      <x:c r="C12" s="30" t="n">
        <x:v>8</x:v>
      </x:c>
      <x:c r="D12" s="30" t="n">
        <x:v>8</x:v>
      </x:c>
      <x:c r="E12" s="30" t="n">
        <x:v>0</x:v>
      </x:c>
      <x:c r="F12" s="30" t="n">
        <x:v>3</x:v>
      </x:c>
      <x:c r="G12" s="30" t="str">
        <x:v>matrix_mean</x:v>
      </x:c>
      <x:c r="H12" s="32" t="n">
        <x:v>69.46666667</x:v>
      </x:c>
      <x:c r="I12" s="33" t="n">
        <x:v>0.07336474032</x:v>
      </x:c>
      <x:c r="J12" s="32" t="n">
        <x:v>70</x:v>
      </x:c>
      <x:c r="K12" s="32" t="str">
        <x:v>OCC</x:v>
      </x:c>
      <x:c r="L12" s="34" t="n">
        <x:f>IFERROR(H12/J12,"")</x:f>
        <x:v>0.9923809524285714</x:v>
      </x:c>
      <x:c r="M12" s="32" t="n">
        <x:v>69.46666667</x:v>
      </x:c>
      <x:c r="N12" s="32" t="n">
        <x:v>70</x:v>
      </x:c>
      <x:c r="O12" s="32" t="str">
        <x:v>OCC</x:v>
      </x:c>
      <x:c r="P12" s="34" t="n">
        <x:f>IFERROR(M12/N12,"")</x:f>
        <x:v>0.9923809524285714</x:v>
      </x:c>
      <x:c r="Q12" s="32" t="n">
        <x:v>0</x:v>
      </x:c>
      <x:c r="R12" s="32"/>
      <x:c r="S12" s="32" t="str"/>
      <x:c r="T12" s="34" t="str">
        <x:f>IFERROR(Q12/R12,"")</x:f>
      </x:c>
      <x:c r="U12" s="33" t="n">
        <x:v>0.001984126984</x:v>
      </x:c>
      <x:c r="V12" s="33" t="n">
        <x:v>0.001960784314</x:v>
      </x:c>
      <x:c r="W12" s="33" t="n">
        <x:f>IFERROR(U12-V12,"")</x:f>
        <x:v>0.000023342669999999906</x:v>
      </x:c>
      <x:c r="X12" s="30" t="n">
        <x:v>155.2498388</x:v>
      </x:c>
      <x:c r="Y12" s="30" t="n">
        <x:v>154.8798009</x:v>
      </x:c>
      <x:c r="Z12" s="33" t="n">
        <x:f>IFERROR(1-X12/Y12,"")</x:f>
        <x:v>-0.0023891940579063853</x:v>
      </x:c>
      <x:c r="AA12" s="30" t="n">
        <x:v>27083.9521</x:v>
      </x:c>
      <x:c r="AB12" s="30" t="n">
        <x:v>27083.31361</x:v>
      </x:c>
      <x:c r="AC12" s="33" t="n">
        <x:f>IFERROR(1-AA12/AB12,"")</x:f>
        <x:v>-0.00002357503255301374</x:v>
      </x:c>
      <x:c r="AD12" s="33"/>
      <x:c r="AE12" s="33"/>
      <x:c r="AF12" s="33"/>
      <x:c r="AG12" s="33"/>
      <x:c r="AH12" s="33"/>
      <x:c r="AI12" s="30" t="n">
        <x:v>0.3333333333</x:v>
      </x:c>
      <x:c r="AJ12" s="30" t="n">
        <x:v>0</x:v>
      </x:c>
      <x:c r="AK12" s="30" t="n">
        <x:v>0.3333333333</x:v>
      </x:c>
      <x:c r="AL12" s="30" t="n">
        <x:v>0.3333333333</x:v>
      </x:c>
      <x:c r="AM12" s="30" t="n">
        <x:v>185.40813059599085</x:v>
      </x:c>
      <x:c r="AN12" s="35" t="n">
        <x:f>IFERROR(AI12/AM12,"")</x:f>
        <x:v>0.0017978355761880907</x:v>
      </x:c>
      <x:c r="AO12" s="35" t="n">
        <x:f>IFERROR(AJ12/AM12,"")</x:f>
        <x:v>0</x:v>
      </x:c>
      <x:c r="AP12" s="35" t="n">
        <x:f>IFERROR(AK12/AM12,"")</x:f>
        <x:v>0.0017978355761880907</x:v>
      </x:c>
      <x:c r="AQ12" s="35" t="n">
        <x:f>IFERROR(AL12/AM12,"")</x:f>
        <x:v>0.0017978355761880907</x:v>
      </x:c>
      <x:c r="AR12" s="30" t="n">
        <x:v>32.66666667</x:v>
      </x:c>
      <x:c r="AS12" s="30" t="n">
        <x:v>0</x:v>
      </x:c>
      <x:c r="AT12" s="30" t="n">
        <x:v>0</x:v>
      </x:c>
      <x:c r="AU12" s="30" t="n">
        <x:v>0</x:v>
      </x:c>
      <x:c r="AV12" s="30" t="n">
        <x:v>0.3333333333</x:v>
      </x:c>
      <x:c r="AW12" s="44" t="str">
        <x:v>matrix mean; seeds=940201,940202,940203</x:v>
      </x:c>
    </x:row>
    <x:row r="13">
      <x:c r="A13" s="30" t="str">
        <x:v>YCSB medium</x:v>
      </x:c>
      <x:c r="B13" s="31" t="n">
        <x:v>1</x:v>
      </x:c>
      <x:c r="C13" s="30" t="n">
        <x:v>16</x:v>
      </x:c>
      <x:c r="D13" s="30" t="n">
        <x:v>16</x:v>
      </x:c>
      <x:c r="E13" s="30" t="n">
        <x:v>0</x:v>
      </x:c>
      <x:c r="F13" s="30" t="n">
        <x:v>3</x:v>
      </x:c>
      <x:c r="G13" s="30" t="str">
        <x:v>matrix_mean</x:v>
      </x:c>
      <x:c r="H13" s="32" t="n">
        <x:v>136.6666667</x:v>
      </x:c>
      <x:c r="I13" s="33" t="n">
        <x:v>0.03429930894</x:v>
      </x:c>
      <x:c r="J13" s="32" t="n">
        <x:v>138.8</x:v>
      </x:c>
      <x:c r="K13" s="32" t="str">
        <x:v>Polaris</x:v>
      </x:c>
      <x:c r="L13" s="34" t="n">
        <x:f>IFERROR(H13/J13,"")</x:f>
        <x:v>0.9846301635446686</x:v>
      </x:c>
      <x:c r="M13" s="32" t="n">
        <x:v>136.6666667</x:v>
      </x:c>
      <x:c r="N13" s="32" t="n">
        <x:v>138.8</x:v>
      </x:c>
      <x:c r="O13" s="32" t="str">
        <x:v>Polaris</x:v>
      </x:c>
      <x:c r="P13" s="34" t="n">
        <x:f>IFERROR(M13/N13,"")</x:f>
        <x:v>0.9846301635446686</x:v>
      </x:c>
      <x:c r="Q13" s="32" t="n">
        <x:v>0</x:v>
      </x:c>
      <x:c r="R13" s="32"/>
      <x:c r="S13" s="32" t="str"/>
      <x:c r="T13" s="34" t="str">
        <x:f>IFERROR(Q13/R13,"")</x:f>
      </x:c>
      <x:c r="U13" s="33" t="n">
        <x:v>0.004673326853</x:v>
      </x:c>
      <x:c r="V13" s="33" t="n">
        <x:v>0.003781080429</x:v>
      </x:c>
      <x:c r="W13" s="33" t="n">
        <x:f>IFERROR(U13-V13,"")</x:f>
        <x:v>0.0008922464239999998</x:v>
      </x:c>
      <x:c r="X13" s="30" t="n">
        <x:v>165.6344592</x:v>
      </x:c>
      <x:c r="Y13" s="30" t="n">
        <x:v>164.3586164</x:v>
      </x:c>
      <x:c r="Z13" s="33" t="n">
        <x:f>IFERROR(1-X13/Y13,"")</x:f>
        <x:v>-0.007762555002866378</x:v>
      </x:c>
      <x:c r="AA13" s="30" t="n">
        <x:v>27156.96711</x:v>
      </x:c>
      <x:c r="AB13" s="30" t="n">
        <x:v>27132.94232</x:v>
      </x:c>
      <x:c r="AC13" s="33" t="n">
        <x:f>IFERROR(1-AA13/AB13,"")</x:f>
        <x:v>-0.0008854472808978997</x:v>
      </x:c>
      <x:c r="AD13" s="33" t="n">
        <x:f>IFERROR(H13/H12-1,"")</x:f>
        <x:v>0.9673704418441764</x:v>
      </x:c>
      <x:c r="AE13" s="33" t="str">
        <x:f>IF(AD13&lt;-0.1,"drop &gt;10%",IF(AND(C13&gt;16,AD13&gt;0.5),"jump &gt;50%",""))</x:f>
      </x:c>
      <x:c r="AF13" s="33" t="n">
        <x:f>IFERROR(M13/M12-1,"")</x:f>
        <x:v>0.9673704418441764</x:v>
      </x:c>
      <x:c r="AG13" s="33" t="str">
        <x:f>IFERROR(Q13/Q12-1,"")</x:f>
      </x:c>
      <x:c r="AH13" s="33" t="n">
        <x:f>IFERROR(X13/X12-1,"")</x:f>
        <x:v>0.06688973386554031</x:v>
      </x:c>
      <x:c r="AI13" s="30" t="n">
        <x:v>1.666666667</x:v>
      </x:c>
      <x:c r="AJ13" s="30" t="n">
        <x:v>0</x:v>
      </x:c>
      <x:c r="AK13" s="30" t="n">
        <x:v>1.666666667</x:v>
      </x:c>
      <x:c r="AL13" s="30" t="n">
        <x:v>1.666666667</x:v>
      </x:c>
      <x:c r="AM13" s="30" t="n">
        <x:v>365.0975490795768</x:v>
      </x:c>
      <x:c r="AN13" s="35" t="n">
        <x:f>IFERROR(AI13/AM13,"")</x:f>
        <x:v>0.004564990017604124</x:v>
      </x:c>
      <x:c r="AO13" s="35" t="n">
        <x:f>IFERROR(AJ13/AM13,"")</x:f>
        <x:v>0</x:v>
      </x:c>
      <x:c r="AP13" s="35" t="n">
        <x:f>IFERROR(AK13/AM13,"")</x:f>
        <x:v>0.004564990017604124</x:v>
      </x:c>
      <x:c r="AQ13" s="35" t="n">
        <x:f>IFERROR(AL13/AM13,"")</x:f>
        <x:v>0.004564990017604124</x:v>
      </x:c>
      <x:c r="AR13" s="30" t="n">
        <x:v>167.3333333</x:v>
      </x:c>
      <x:c r="AS13" s="30" t="n">
        <x:v>0</x:v>
      </x:c>
      <x:c r="AT13" s="30" t="n">
        <x:v>0</x:v>
      </x:c>
      <x:c r="AU13" s="30" t="n">
        <x:v>0</x:v>
      </x:c>
      <x:c r="AV13" s="30" t="n">
        <x:v>1.666666667</x:v>
      </x:c>
      <x:c r="AW13" s="44" t="str">
        <x:v>matrix mean; seeds=940201,940202,940203</x:v>
      </x:c>
    </x:row>
    <x:row r="14">
      <x:c r="A14" s="30" t="str">
        <x:v>YCSB medium</x:v>
      </x:c>
      <x:c r="B14" s="31" t="n">
        <x:v>1</x:v>
      </x:c>
      <x:c r="C14" s="30" t="n">
        <x:v>24</x:v>
      </x:c>
      <x:c r="D14" s="30" t="n">
        <x:v>24</x:v>
      </x:c>
      <x:c r="E14" s="30" t="n">
        <x:v>0</x:v>
      </x:c>
      <x:c r="F14" s="30" t="n">
        <x:v>3</x:v>
      </x:c>
      <x:c r="G14" s="30" t="str">
        <x:v>matrix_mean</x:v>
      </x:c>
      <x:c r="H14" s="32" t="n">
        <x:v>198.5333333</x:v>
      </x:c>
      <x:c r="I14" s="33" t="n">
        <x:v>0.02420526701</x:v>
      </x:c>
      <x:c r="J14" s="32" t="n">
        <x:v>200.5333333</x:v>
      </x:c>
      <x:c r="K14" s="32" t="str">
        <x:v>2PL-wait-die</x:v>
      </x:c>
      <x:c r="L14" s="34" t="n">
        <x:f>IFERROR(H14/J14,"")</x:f>
        <x:v>0.990026595743023</x:v>
      </x:c>
      <x:c r="M14" s="32" t="n">
        <x:v>198.5333333</x:v>
      </x:c>
      <x:c r="N14" s="32" t="n">
        <x:v>200.5333333</x:v>
      </x:c>
      <x:c r="O14" s="32" t="str">
        <x:v>2PL-wait-die</x:v>
      </x:c>
      <x:c r="P14" s="34" t="n">
        <x:f>IFERROR(M14/N14,"")</x:f>
        <x:v>0.990026595743023</x:v>
      </x:c>
      <x:c r="Q14" s="32" t="n">
        <x:v>0</x:v>
      </x:c>
      <x:c r="R14" s="32"/>
      <x:c r="S14" s="32" t="str"/>
      <x:c r="T14" s="34" t="str">
        <x:f>IFERROR(Q14/R14,"")</x:f>
      </x:c>
      <x:c r="U14" s="33" t="n">
        <x:v>0.003242736271</x:v>
      </x:c>
      <x:c r="V14" s="33" t="n">
        <x:v>0.003229210041</x:v>
      </x:c>
      <x:c r="W14" s="33" t="n">
        <x:f>IFERROR(U14-V14,"")</x:f>
        <x:v>0.000013526230000000198</x:v>
      </x:c>
      <x:c r="X14" s="30" t="n">
        <x:v>161.5769083</x:v>
      </x:c>
      <x:c r="Y14" s="30" t="n">
        <x:v>161.6531109</x:v>
      </x:c>
      <x:c r="Z14" s="33" t="n">
        <x:f>IFERROR(1-X14/Y14,"")</x:f>
        <x:v>0.0004713958152474662</x:v>
      </x:c>
      <x:c r="AA14" s="30" t="n">
        <x:v>27118.23855</x:v>
      </x:c>
      <x:c r="AB14" s="30" t="n">
        <x:v>27117.86989</x:v>
      </x:c>
      <x:c r="AC14" s="33" t="n">
        <x:f>IFERROR(1-AA14/AB14,"")</x:f>
        <x:v>-0.000013594725599475055</x:v>
      </x:c>
      <x:c r="AD14" s="33" t="n">
        <x:f>IFERROR(H14/H13-1,"")</x:f>
        <x:v>0.452682926231053</x:v>
      </x:c>
      <x:c r="AE14" s="33" t="str">
        <x:f>IF(AD14&lt;-0.1,"drop &gt;10%",IF(AND(C14&gt;16,AD14&gt;0.5),"jump &gt;50%",""))</x:f>
      </x:c>
      <x:c r="AF14" s="33" t="n">
        <x:f>IFERROR(M14/M13-1,"")</x:f>
        <x:v>0.452682926231053</x:v>
      </x:c>
      <x:c r="AG14" s="33" t="str">
        <x:f>IFERROR(Q14/Q13-1,"")</x:f>
      </x:c>
      <x:c r="AH14" s="33" t="n">
        <x:f>IFERROR(X14/X13-1,"")</x:f>
        <x:v>-0.024497021450715084</x:v>
      </x:c>
      <x:c r="AI14" s="30" t="n">
        <x:v>1.666666667</x:v>
      </x:c>
      <x:c r="AJ14" s="30" t="n">
        <x:v>0</x:v>
      </x:c>
      <x:c r="AK14" s="30" t="n">
        <x:v>1.666666667</x:v>
      </x:c>
      <x:c r="AL14" s="30" t="n">
        <x:v>1.666666667</x:v>
      </x:c>
      <x:c r="AM14" s="30" t="n">
        <x:v>598.5401199090211</x:v>
      </x:c>
      <x:c r="AN14" s="35" t="n">
        <x:f>IFERROR(AI14/AM14,"")</x:f>
        <x:v>0.00278455296739897</x:v>
      </x:c>
      <x:c r="AO14" s="35" t="n">
        <x:f>IFERROR(AJ14/AM14,"")</x:f>
        <x:v>0</x:v>
      </x:c>
      <x:c r="AP14" s="35" t="n">
        <x:f>IFERROR(AK14/AM14,"")</x:f>
        <x:v>0.00278455296739897</x:v>
      </x:c>
      <x:c r="AQ14" s="35" t="n">
        <x:f>IFERROR(AL14/AM14,"")</x:f>
        <x:v>0.00278455296739897</x:v>
      </x:c>
      <x:c r="AR14" s="30" t="n">
        <x:v>151</x:v>
      </x:c>
      <x:c r="AS14" s="30" t="n">
        <x:v>0</x:v>
      </x:c>
      <x:c r="AT14" s="30" t="n">
        <x:v>0</x:v>
      </x:c>
      <x:c r="AU14" s="30" t="n">
        <x:v>0</x:v>
      </x:c>
      <x:c r="AV14" s="30" t="n">
        <x:v>1.666666667</x:v>
      </x:c>
      <x:c r="AW14" s="44" t="str">
        <x:v>matrix mean; seeds=940201,940202,940203</x:v>
      </x:c>
    </x:row>
    <x:row r="15">
      <x:c r="A15" s="30" t="str">
        <x:v>YCSB medium</x:v>
      </x:c>
      <x:c r="B15" s="31" t="n">
        <x:v>1</x:v>
      </x:c>
      <x:c r="C15" s="30" t="n">
        <x:v>32</x:v>
      </x:c>
      <x:c r="D15" s="30" t="n">
        <x:v>32</x:v>
      </x:c>
      <x:c r="E15" s="30" t="n">
        <x:v>0</x:v>
      </x:c>
      <x:c r="F15" s="30" t="n">
        <x:v>3</x:v>
      </x:c>
      <x:c r="G15" s="30" t="str">
        <x:v>matrix_mean</x:v>
      </x:c>
      <x:c r="H15" s="32" t="n">
        <x:v>250.8</x:v>
      </x:c>
      <x:c r="I15" s="33" t="n">
        <x:v>0.0219261995</x:v>
      </x:c>
      <x:c r="J15" s="32" t="n">
        <x:v>264.4</x:v>
      </x:c>
      <x:c r="K15" s="32" t="str">
        <x:v>OCC</x:v>
      </x:c>
      <x:c r="L15" s="34" t="n">
        <x:f>IFERROR(H15/J15,"")</x:f>
        <x:v>0.9485627836611197</x:v>
      </x:c>
      <x:c r="M15" s="32" t="n">
        <x:v>250.8</x:v>
      </x:c>
      <x:c r="N15" s="32" t="n">
        <x:v>264.4</x:v>
      </x:c>
      <x:c r="O15" s="32" t="str">
        <x:v>OCC</x:v>
      </x:c>
      <x:c r="P15" s="34" t="n">
        <x:f>IFERROR(M15/N15,"")</x:f>
        <x:v>0.9485627836611197</x:v>
      </x:c>
      <x:c r="Q15" s="32" t="n">
        <x:v>0</x:v>
      </x:c>
      <x:c r="R15" s="32"/>
      <x:c r="S15" s="32" t="str"/>
      <x:c r="T15" s="34" t="str">
        <x:f>IFERROR(Q15/R15,"")</x:f>
      </x:c>
      <x:c r="U15" s="33" t="n">
        <x:v>0.005997088692</x:v>
      </x:c>
      <x:c r="V15" s="33" t="n">
        <x:v>0.005733984127</x:v>
      </x:c>
      <x:c r="W15" s="33" t="n">
        <x:f>IFERROR(U15-V15,"")</x:f>
        <x:v>0.000263104565</x:v>
      </x:c>
      <x:c r="X15" s="30" t="n">
        <x:v>170.7775706</x:v>
      </x:c>
      <x:c r="Y15" s="30" t="n">
        <x:v>163.129461</x:v>
      </x:c>
      <x:c r="Z15" s="33" t="n">
        <x:f>IFERROR(1-X15/Y15,"")</x:f>
        <x:v>-0.04688368093118389</x:v>
      </x:c>
      <x:c r="AA15" s="30" t="n">
        <x:v>27193.18942</x:v>
      </x:c>
      <x:c r="AB15" s="30" t="n">
        <x:v>27186.03667</x:v>
      </x:c>
      <x:c r="AC15" s="33" t="n">
        <x:f>IFERROR(1-AA15/AB15,"")</x:f>
        <x:v>-0.0002631038163753985</x:v>
      </x:c>
      <x:c r="AD15" s="33" t="n">
        <x:f>IFERROR(H15/H14-1,"")</x:f>
        <x:v>0.26326393573929874</x:v>
      </x:c>
      <x:c r="AE15" s="33" t="str">
        <x:f>IF(AD15&lt;-0.1,"drop &gt;10%",IF(AND(C15&gt;16,AD15&gt;0.5),"jump &gt;50%",""))</x:f>
      </x:c>
      <x:c r="AF15" s="33" t="n">
        <x:f>IFERROR(M15/M14-1,"")</x:f>
        <x:v>0.26326393573929874</x:v>
      </x:c>
      <x:c r="AG15" s="33" t="str">
        <x:f>IFERROR(Q15/Q14-1,"")</x:f>
      </x:c>
      <x:c r="AH15" s="33" t="n">
        <x:f>IFERROR(X15/X14-1,"")</x:f>
        <x:v>0.05694292827361869</x:v>
      </x:c>
      <x:c r="AI15" s="30" t="n">
        <x:v>4</x:v>
      </x:c>
      <x:c r="AJ15" s="30" t="n">
        <x:v>0</x:v>
      </x:c>
      <x:c r="AK15" s="30" t="n">
        <x:v>4</x:v>
      </x:c>
      <x:c r="AL15" s="30" t="n">
        <x:v>4</x:v>
      </x:c>
      <x:c r="AM15" s="30" t="n">
        <x:v>689.7704454008281</x:v>
      </x:c>
      <x:c r="AN15" s="35" t="n">
        <x:f>IFERROR(AI15/AM15,"")</x:f>
        <x:v>0.005799030716190784</x:v>
      </x:c>
      <x:c r="AO15" s="35" t="n">
        <x:f>IFERROR(AJ15/AM15,"")</x:f>
        <x:v>0</x:v>
      </x:c>
      <x:c r="AP15" s="35" t="n">
        <x:f>IFERROR(AK15/AM15,"")</x:f>
        <x:v>0.005799030716190784</x:v>
      </x:c>
      <x:c r="AQ15" s="35" t="n">
        <x:f>IFERROR(AL15/AM15,"")</x:f>
        <x:v>0.005799030716190784</x:v>
      </x:c>
      <x:c r="AR15" s="30" t="n">
        <x:v>425.6666667</x:v>
      </x:c>
      <x:c r="AS15" s="30" t="n">
        <x:v>0</x:v>
      </x:c>
      <x:c r="AT15" s="30" t="n">
        <x:v>0</x:v>
      </x:c>
      <x:c r="AU15" s="30" t="n">
        <x:v>0</x:v>
      </x:c>
      <x:c r="AV15" s="30" t="n">
        <x:v>4</x:v>
      </x:c>
      <x:c r="AW15" s="44" t="str">
        <x:v>matrix mean; seeds=940201,940202,940203</x:v>
      </x:c>
    </x:row>
    <x:row r="16">
      <x:c r="A16" s="30" t="str">
        <x:v>YCSB medium</x:v>
      </x:c>
      <x:c r="B16" s="31" t="n">
        <x:v>1</x:v>
      </x:c>
      <x:c r="C16" s="30" t="n">
        <x:v>40</x:v>
      </x:c>
      <x:c r="D16" s="30" t="n">
        <x:v>40</x:v>
      </x:c>
      <x:c r="E16" s="30" t="n">
        <x:v>0</x:v>
      </x:c>
      <x:c r="F16" s="30" t="n">
        <x:v>3</x:v>
      </x:c>
      <x:c r="G16" s="30" t="str">
        <x:v>matrix_mean</x:v>
      </x:c>
      <x:c r="H16" s="32" t="n">
        <x:v>289.4666667</x:v>
      </x:c>
      <x:c r="I16" s="33" t="n">
        <x:v>0.08364864645</x:v>
      </x:c>
      <x:c r="J16" s="32" t="n">
        <x:v>294.6666667</x:v>
      </x:c>
      <x:c r="K16" s="32" t="str">
        <x:v>OCC</x:v>
      </x:c>
      <x:c r="L16" s="34" t="n">
        <x:f>IFERROR(H16/J16,"")</x:f>
        <x:v>0.9823529411784669</x:v>
      </x:c>
      <x:c r="M16" s="32" t="n">
        <x:v>289.4666667</x:v>
      </x:c>
      <x:c r="N16" s="32" t="n">
        <x:v>294.6666667</x:v>
      </x:c>
      <x:c r="O16" s="32" t="str">
        <x:v>OCC</x:v>
      </x:c>
      <x:c r="P16" s="34" t="n">
        <x:f>IFERROR(M16/N16,"")</x:f>
        <x:v>0.9823529411784669</x:v>
      </x:c>
      <x:c r="Q16" s="32" t="n">
        <x:v>0</x:v>
      </x:c>
      <x:c r="R16" s="32"/>
      <x:c r="S16" s="32" t="str"/>
      <x:c r="T16" s="34" t="str">
        <x:f>IFERROR(Q16/R16,"")</x:f>
      </x:c>
      <x:c r="U16" s="33" t="n">
        <x:v>0.006969005724</x:v>
      </x:c>
      <x:c r="V16" s="33" t="n">
        <x:v>0.008086629479</x:v>
      </x:c>
      <x:c r="W16" s="33" t="n">
        <x:f>IFERROR(U16-V16,"")</x:f>
        <x:v>-0.0011176237550000008</x:v>
      </x:c>
      <x:c r="X16" s="30" t="n">
        <x:v>187.1346168</x:v>
      </x:c>
      <x:c r="Y16" s="30" t="n">
        <x:v>178.5463986</x:v>
      </x:c>
      <x:c r="Z16" s="33" t="n">
        <x:f>IFERROR(1-X16/Y16,"")</x:f>
        <x:v>-0.04810076410020625</x:v>
      </x:c>
      <x:c r="AA16" s="30" t="n">
        <x:v>27219.74467</x:v>
      </x:c>
      <x:c r="AB16" s="30" t="n">
        <x:v>27250.3665</x:v>
      </x:c>
      <x:c r="AC16" s="33" t="n">
        <x:f>IFERROR(1-AA16/AB16,"")</x:f>
        <x:v>0.0011237217671916655</x:v>
      </x:c>
      <x:c r="AD16" s="33" t="n">
        <x:f>IFERROR(H16/H15-1,"")</x:f>
        <x:v>0.15417331220095698</x:v>
      </x:c>
      <x:c r="AE16" s="33" t="str">
        <x:f>IF(AD16&lt;-0.1,"drop &gt;10%",IF(AND(C16&gt;16,AD16&gt;0.5),"jump &gt;50%",""))</x:f>
      </x:c>
      <x:c r="AF16" s="33" t="n">
        <x:f>IFERROR(M16/M15-1,"")</x:f>
        <x:v>0.15417331220095698</x:v>
      </x:c>
      <x:c r="AG16" s="33" t="str">
        <x:f>IFERROR(Q16/Q15-1,"")</x:f>
      </x:c>
      <x:c r="AH16" s="33" t="n">
        <x:f>IFERROR(X16/X15-1,"")</x:f>
        <x:v>0.09577982719002343</x:v>
      </x:c>
      <x:c r="AI16" s="30" t="n">
        <x:v>5.333333333</x:v>
      </x:c>
      <x:c r="AJ16" s="30" t="n">
        <x:v>0</x:v>
      </x:c>
      <x:c r="AK16" s="30" t="n">
        <x:v>5.333333333</x:v>
      </x:c>
      <x:c r="AL16" s="30" t="n">
        <x:v>5.333333333</x:v>
      </x:c>
      <x:c r="AM16" s="30" t="n">
        <x:v>809.319958763949</x:v>
      </x:c>
      <x:c r="AN16" s="35" t="n">
        <x:f>IFERROR(AI16/AM16,"")</x:f>
        <x:v>0.006589894732295303</x:v>
      </x:c>
      <x:c r="AO16" s="35" t="n">
        <x:f>IFERROR(AJ16/AM16,"")</x:f>
        <x:v>0</x:v>
      </x:c>
      <x:c r="AP16" s="35" t="n">
        <x:f>IFERROR(AK16/AM16,"")</x:f>
        <x:v>0.006589894732295303</x:v>
      </x:c>
      <x:c r="AQ16" s="35" t="n">
        <x:f>IFERROR(AL16/AM16,"")</x:f>
        <x:v>0.006589894732295303</x:v>
      </x:c>
      <x:c r="AR16" s="30" t="n">
        <x:v>546</x:v>
      </x:c>
      <x:c r="AS16" s="30" t="n">
        <x:v>0</x:v>
      </x:c>
      <x:c r="AT16" s="30" t="n">
        <x:v>0</x:v>
      </x:c>
      <x:c r="AU16" s="30" t="n">
        <x:v>0</x:v>
      </x:c>
      <x:c r="AV16" s="30" t="n">
        <x:v>5.333333333</x:v>
      </x:c>
      <x:c r="AW16" s="44" t="str">
        <x:v>matrix mean; seeds=940201,940202,940203</x:v>
      </x:c>
    </x:row>
    <x:row r="17">
      <x:c r="A17" s="30" t="str">
        <x:v>YCSB medium</x:v>
      </x:c>
      <x:c r="B17" s="31" t="n">
        <x:v>0.8</x:v>
      </x:c>
      <x:c r="C17" s="30" t="n">
        <x:v>8</x:v>
      </x:c>
      <x:c r="D17" s="30" t="n">
        <x:v>6</x:v>
      </x:c>
      <x:c r="E17" s="30" t="n">
        <x:v>2</x:v>
      </x:c>
      <x:c r="F17" s="30" t="n">
        <x:v>3</x:v>
      </x:c>
      <x:c r="G17" s="30" t="str">
        <x:v>matrix_mean</x:v>
      </x:c>
      <x:c r="H17" s="32" t="n">
        <x:v>39.33333333</x:v>
      </x:c>
      <x:c r="I17" s="33" t="n">
        <x:v>0.2609288868</x:v>
      </x:c>
      <x:c r="J17" s="32" t="n">
        <x:v>20.53333333</x:v>
      </x:c>
      <x:c r="K17" s="32" t="str">
        <x:v>Silo</x:v>
      </x:c>
      <x:c r="L17" s="34" t="n">
        <x:f>IFERROR(H17/J17,"")</x:f>
        <x:v>1.9155844157330495</x:v>
      </x:c>
      <x:c r="M17" s="32" t="n">
        <x:v>1636.133333</x:v>
      </x:c>
      <x:c r="N17" s="32" t="n">
        <x:v>3420.4</x:v>
      </x:c>
      <x:c r="O17" s="32" t="str">
        <x:v>OCC</x:v>
      </x:c>
      <x:c r="P17" s="34" t="n">
        <x:f>IFERROR(M17/N17,"")</x:f>
        <x:v>0.4783456125014618</x:v>
      </x:c>
      <x:c r="Q17" s="32" t="n">
        <x:v>1596.8</x:v>
      </x:c>
      <x:c r="R17" s="32" t="n">
        <x:v>3402.133333</x:v>
      </x:c>
      <x:c r="S17" s="32" t="str">
        <x:v>OCC</x:v>
      </x:c>
      <x:c r="T17" s="34" t="n">
        <x:f>IFERROR(Q17/R17,"")</x:f>
        <x:v>0.46935256314365026</x:v>
      </x:c>
      <x:c r="U17" s="33" t="n">
        <x:v>0.02617699408</x:v>
      </x:c>
      <x:c r="V17" s="33" t="n">
        <x:v>0.09066308159</x:v>
      </x:c>
      <x:c r="W17" s="33" t="n">
        <x:f>IFERROR(U17-V17,"")</x:f>
        <x:v>-0.06448608751</x:v>
      </x:c>
      <x:c r="X17" s="30" t="n">
        <x:v>1315.367929</x:v>
      </x:c>
      <x:c r="Y17" s="30" t="n">
        <x:v>3092.728243</x:v>
      </x:c>
      <x:c r="Z17" s="33" t="n">
        <x:f>IFERROR(1-X17/Y17,"")</x:f>
        <x:v>0.5746901034783223</x:v>
      </x:c>
      <x:c r="AA17" s="30" t="n">
        <x:v>27775.44227</x:v>
      </x:c>
      <x:c r="AB17" s="30" t="n">
        <x:v>29835.00965</x:v>
      </x:c>
      <x:c r="AC17" s="33" t="n">
        <x:f>IFERROR(1-AA17/AB17,"")</x:f>
        <x:v>0.06903189924056219</x:v>
      </x:c>
      <x:c r="AD17" s="33"/>
      <x:c r="AE17" s="33"/>
      <x:c r="AF17" s="33"/>
      <x:c r="AG17" s="33"/>
      <x:c r="AH17" s="33"/>
      <x:c r="AI17" s="30" t="n">
        <x:v>2.333333333</x:v>
      </x:c>
      <x:c r="AJ17" s="30" t="n">
        <x:v>0</x:v>
      </x:c>
      <x:c r="AK17" s="30" t="n">
        <x:v>2.333333333</x:v>
      </x:c>
      <x:c r="AL17" s="30" t="n">
        <x:v>2.333333333</x:v>
      </x:c>
      <x:c r="AM17" s="30" t="n">
        <x:v>4149.427348899474</x:v>
      </x:c>
      <x:c r="AN17" s="35" t="n">
        <x:f>IFERROR(AI17/AM17,"")</x:f>
        <x:v>0.0005623265903471849</x:v>
      </x:c>
      <x:c r="AO17" s="35" t="n">
        <x:f>IFERROR(AJ17/AM17,"")</x:f>
        <x:v>0</x:v>
      </x:c>
      <x:c r="AP17" s="35" t="n">
        <x:f>IFERROR(AK17/AM17,"")</x:f>
        <x:v>0.0005623265903471849</x:v>
      </x:c>
      <x:c r="AQ17" s="35" t="n">
        <x:f>IFERROR(AL17/AM17,"")</x:f>
        <x:v>0.0005623265903471849</x:v>
      </x:c>
      <x:c r="AR17" s="30" t="n">
        <x:v>239.3333333</x:v>
      </x:c>
      <x:c r="AS17" s="30" t="n">
        <x:v>0</x:v>
      </x:c>
      <x:c r="AT17" s="30" t="n">
        <x:v>0</x:v>
      </x:c>
      <x:c r="AU17" s="30" t="n">
        <x:v>0</x:v>
      </x:c>
      <x:c r="AV17" s="30" t="n">
        <x:v>2.333333333</x:v>
      </x:c>
      <x:c r="AW17" s="44" t="str">
        <x:v>matrix mean; seeds=940201,940202,940203</x:v>
      </x:c>
    </x:row>
    <x:row r="18">
      <x:c r="A18" s="30" t="str">
        <x:v>YCSB medium</x:v>
      </x:c>
      <x:c r="B18" s="31" t="n">
        <x:v>0.8</x:v>
      </x:c>
      <x:c r="C18" s="30" t="n">
        <x:v>16</x:v>
      </x:c>
      <x:c r="D18" s="30" t="n">
        <x:v>13</x:v>
      </x:c>
      <x:c r="E18" s="30" t="n">
        <x:v>3</x:v>
      </x:c>
      <x:c r="F18" s="30" t="n">
        <x:v>3</x:v>
      </x:c>
      <x:c r="G18" s="30" t="str">
        <x:v>matrix_mean</x:v>
      </x:c>
      <x:c r="H18" s="32" t="n">
        <x:v>71.46666667</x:v>
      </x:c>
      <x:c r="I18" s="33" t="n">
        <x:v>0.05716997554</x:v>
      </x:c>
      <x:c r="J18" s="32" t="n">
        <x:v>74.53333333</x:v>
      </x:c>
      <x:c r="K18" s="32" t="str">
        <x:v>Polaris</x:v>
      </x:c>
      <x:c r="L18" s="34" t="n">
        <x:f>IFERROR(H18/J18,"")</x:f>
        <x:v>0.9588550984775873</x:v>
      </x:c>
      <x:c r="M18" s="32" t="n">
        <x:v>957.2</x:v>
      </x:c>
      <x:c r="N18" s="32" t="n">
        <x:v>1285.2</x:v>
      </x:c>
      <x:c r="O18" s="32" t="str">
        <x:v>Silo</x:v>
      </x:c>
      <x:c r="P18" s="34" t="n">
        <x:f>IFERROR(M18/N18,"")</x:f>
        <x:v>0.744786803610333</x:v>
      </x:c>
      <x:c r="Q18" s="32" t="n">
        <x:v>885.7333333</x:v>
      </x:c>
      <x:c r="R18" s="32" t="n">
        <x:v>1215.066667</x:v>
      </x:c>
      <x:c r="S18" s="32" t="str">
        <x:v>Silo</x:v>
      </x:c>
      <x:c r="T18" s="34" t="n">
        <x:f>IFERROR(Q18/R18,"")</x:f>
        <x:v>0.7289586303004064</x:v>
      </x:c>
      <x:c r="U18" s="33" t="n">
        <x:v>0.03530571135</x:v>
      </x:c>
      <x:c r="V18" s="33" t="n">
        <x:v>0.03105932159</x:v>
      </x:c>
      <x:c r="W18" s="33" t="n">
        <x:f>IFERROR(U18-V18,"")</x:f>
        <x:v>0.004246389759999997</x:v>
      </x:c>
      <x:c r="X18" s="30" t="n">
        <x:v>2667.939687</x:v>
      </x:c>
      <x:c r="Y18" s="30" t="n">
        <x:v>2491.18786</x:v>
      </x:c>
      <x:c r="Z18" s="33" t="n">
        <x:f>IFERROR(1-X18/Y18,"")</x:f>
        <x:v>-0.07095082223144744</x:v>
      </x:c>
      <x:c r="AA18" s="30" t="n">
        <x:v>28019.80228</x:v>
      </x:c>
      <x:c r="AB18" s="30" t="n">
        <x:v>27900.02615</x:v>
      </x:c>
      <x:c r="AC18" s="33" t="n">
        <x:f>IFERROR(1-AA18/AB18,"")</x:f>
        <x:v>-0.004293047230710112</x:v>
      </x:c>
      <x:c r="AD18" s="33" t="n">
        <x:f>IFERROR(H18/H17-1,"")</x:f>
        <x:v>0.8169491527810973</x:v>
      </x:c>
      <x:c r="AE18" s="33" t="str">
        <x:f>IF(AD18&lt;-0.1,"drop &gt;10%",IF(AND(C18&gt;16,AD18&gt;0.5),"jump &gt;50%",""))</x:f>
      </x:c>
      <x:c r="AF18" s="33" t="n">
        <x:f>IFERROR(M18/M17-1,"")</x:f>
        <x:v>-0.414962105658659</x:v>
      </x:c>
      <x:c r="AG18" s="33" t="n">
        <x:f>IFERROR(Q18/Q17-1,"")</x:f>
        <x:v>-0.44530728124999996</x:v>
      </x:c>
      <x:c r="AH18" s="33" t="n">
        <x:f>IFERROR(X18/X17-1,"")</x:f>
        <x:v>1.0282839714879501</x:v>
      </x:c>
      <x:c r="AI18" s="30" t="n">
        <x:v>7</x:v>
      </x:c>
      <x:c r="AJ18" s="30" t="n">
        <x:v>0</x:v>
      </x:c>
      <x:c r="AK18" s="30" t="n">
        <x:v>7</x:v>
      </x:c>
      <x:c r="AL18" s="30" t="n">
        <x:v>7</x:v>
      </x:c>
      <x:c r="AM18" s="30" t="n">
        <x:v>2434.9775856294464</x:v>
      </x:c>
      <x:c r="AN18" s="35" t="n">
        <x:f>IFERROR(AI18/AM18,"")</x:f>
        <x:v>0.0028747697889754853</x:v>
      </x:c>
      <x:c r="AO18" s="35" t="n">
        <x:f>IFERROR(AJ18/AM18,"")</x:f>
        <x:v>0</x:v>
      </x:c>
      <x:c r="AP18" s="35" t="n">
        <x:f>IFERROR(AK18/AM18,"")</x:f>
        <x:v>0.0028747697889754853</x:v>
      </x:c>
      <x:c r="AQ18" s="35" t="n">
        <x:f>IFERROR(AL18/AM18,"")</x:f>
        <x:v>0.0028747697889754853</x:v>
      </x:c>
      <x:c r="AR18" s="30" t="n">
        <x:v>724</x:v>
      </x:c>
      <x:c r="AS18" s="30" t="n">
        <x:v>0</x:v>
      </x:c>
      <x:c r="AT18" s="30" t="n">
        <x:v>0</x:v>
      </x:c>
      <x:c r="AU18" s="30" t="n">
        <x:v>0</x:v>
      </x:c>
      <x:c r="AV18" s="30" t="n">
        <x:v>7</x:v>
      </x:c>
      <x:c r="AW18" s="44" t="str">
        <x:v>matrix mean; seeds=940201,940202,940203</x:v>
      </x:c>
    </x:row>
    <x:row r="19">
      <x:c r="A19" s="30" t="str">
        <x:v>YCSB medium</x:v>
      </x:c>
      <x:c r="B19" s="31" t="n">
        <x:v>0.8</x:v>
      </x:c>
      <x:c r="C19" s="30" t="n">
        <x:v>24</x:v>
      </x:c>
      <x:c r="D19" s="30" t="n">
        <x:v>19</x:v>
      </x:c>
      <x:c r="E19" s="30" t="n">
        <x:v>5</x:v>
      </x:c>
      <x:c r="F19" s="30" t="n">
        <x:v>3</x:v>
      </x:c>
      <x:c r="G19" s="30" t="str">
        <x:v>matrix_mean</x:v>
      </x:c>
      <x:c r="H19" s="32" t="n">
        <x:v>96</x:v>
      </x:c>
      <x:c r="I19" s="33" t="n">
        <x:v>0.0110239638</x:v>
      </x:c>
      <x:c r="J19" s="32" t="n">
        <x:v>80.66666667</x:v>
      </x:c>
      <x:c r="K19" s="32" t="str">
        <x:v>Silo</x:v>
      </x:c>
      <x:c r="L19" s="34" t="n">
        <x:f>IFERROR(H19/J19,"")</x:f>
        <x:v>1.1900826445789223</x:v>
      </x:c>
      <x:c r="M19" s="32" t="n">
        <x:v>677.4666667</x:v>
      </x:c>
      <x:c r="N19" s="32" t="n">
        <x:v>700.8</x:v>
      </x:c>
      <x:c r="O19" s="32" t="str">
        <x:v>2PL-wait-die</x:v>
      </x:c>
      <x:c r="P19" s="34" t="n">
        <x:f>IFERROR(M19/N19,"")</x:f>
        <x:v>0.9667047184646119</x:v>
      </x:c>
      <x:c r="Q19" s="32" t="n">
        <x:v>581.4666667</x:v>
      </x:c>
      <x:c r="R19" s="32" t="n">
        <x:v>621.2</x:v>
      </x:c>
      <x:c r="S19" s="32" t="str">
        <x:v>2PL-wait-die</x:v>
      </x:c>
      <x:c r="T19" s="34" t="n">
        <x:f>IFERROR(Q19/R19,"")</x:f>
        <x:v>0.9360377764005151</x:v>
      </x:c>
      <x:c r="U19" s="33" t="n">
        <x:v>0.02630357726</x:v>
      </x:c>
      <x:c r="V19" s="33" t="n">
        <x:v>0.03540280857</x:v>
      </x:c>
      <x:c r="W19" s="33" t="n">
        <x:f>IFERROR(U19-V19,"")</x:f>
        <x:v>-0.00909923131</x:v>
      </x:c>
      <x:c r="X19" s="30" t="n">
        <x:v>3160.802916</x:v>
      </x:c>
      <x:c r="Y19" s="30" t="n">
        <x:v>3350.190233</x:v>
      </x:c>
      <x:c r="Z19" s="33" t="n">
        <x:f>IFERROR(1-X19/Y19,"")</x:f>
        <x:v>0.056530317333773894</x:v>
      </x:c>
      <x:c r="AA19" s="30" t="n">
        <x:v>27761.00031</x:v>
      </x:c>
      <x:c r="AB19" s="30" t="n">
        <x:v>28025.56381</x:v>
      </x:c>
      <x:c r="AC19" s="33" t="n">
        <x:f>IFERROR(1-AA19/AB19,"")</x:f>
        <x:v>0.009440077701687422</x:v>
      </x:c>
      <x:c r="AD19" s="33" t="n">
        <x:f>IFERROR(H19/H18-1,"")</x:f>
        <x:v>0.3432835820268991</x:v>
      </x:c>
      <x:c r="AE19" s="33" t="str">
        <x:f>IF(AD19&lt;-0.1,"drop &gt;10%",IF(AND(C19&gt;16,AD19&gt;0.5),"jump &gt;50%",""))</x:f>
      </x:c>
      <x:c r="AF19" s="33" t="n">
        <x:f>IFERROR(M19/M18-1,"")</x:f>
        <x:v>-0.292241259193481</x:v>
      </x:c>
      <x:c r="AG19" s="33" t="n">
        <x:f>IFERROR(Q19/Q18-1,"")</x:f>
        <x:v>-0.3435194941420864</x:v>
      </x:c>
      <x:c r="AH19" s="33" t="n">
        <x:f>IFERROR(X19/X18-1,"")</x:f>
        <x:v>0.18473552134688864</x:v>
      </x:c>
      <x:c r="AI19" s="30" t="n">
        <x:v>6.666666667</x:v>
      </x:c>
      <x:c r="AJ19" s="30" t="n">
        <x:v>0</x:v>
      </x:c>
      <x:c r="AK19" s="30" t="n">
        <x:v>6.666666667</x:v>
      </x:c>
      <x:c r="AL19" s="30" t="n">
        <x:v>7</x:v>
      </x:c>
      <x:c r="AM19" s="30" t="n">
        <x:v>1728.1647818265124</x:v>
      </x:c>
      <x:c r="AN19" s="35" t="n">
        <x:f>IFERROR(AI19/AM19,"")</x:f>
        <x:v>0.0038576568259618984</x:v>
      </x:c>
      <x:c r="AO19" s="35" t="n">
        <x:f>IFERROR(AJ19/AM19,"")</x:f>
        <x:v>0</x:v>
      </x:c>
      <x:c r="AP19" s="35" t="n">
        <x:f>IFERROR(AK19/AM19,"")</x:f>
        <x:v>0.0038576568259618984</x:v>
      </x:c>
      <x:c r="AQ19" s="35" t="n">
        <x:f>IFERROR(AL19/AM19,"")</x:f>
        <x:v>0.004050539667057466</x:v>
      </x:c>
      <x:c r="AR19" s="30" t="n">
        <x:v>699.3333333</x:v>
      </x:c>
      <x:c r="AS19" s="30" t="n">
        <x:v>0</x:v>
      </x:c>
      <x:c r="AT19" s="30" t="n">
        <x:v>0</x:v>
      </x:c>
      <x:c r="AU19" s="30" t="n">
        <x:v>0</x:v>
      </x:c>
      <x:c r="AV19" s="30" t="n">
        <x:v>6.666666667</x:v>
      </x:c>
      <x:c r="AW19" s="44" t="str">
        <x:v>matrix mean; seeds=940201,940202,940203</x:v>
      </x:c>
    </x:row>
    <x:row r="20">
      <x:c r="A20" s="30" t="str">
        <x:v>YCSB medium</x:v>
      </x:c>
      <x:c r="B20" s="31" t="n">
        <x:v>0.8</x:v>
      </x:c>
      <x:c r="C20" s="30" t="n">
        <x:v>32</x:v>
      </x:c>
      <x:c r="D20" s="30" t="n">
        <x:v>26</x:v>
      </x:c>
      <x:c r="E20" s="30" t="n">
        <x:v>6</x:v>
      </x:c>
      <x:c r="F20" s="30" t="n">
        <x:v>3</x:v>
      </x:c>
      <x:c r="G20" s="30" t="str">
        <x:v>matrix_mean</x:v>
      </x:c>
      <x:c r="H20" s="32" t="n">
        <x:v>110.8</x:v>
      </x:c>
      <x:c r="I20" s="33" t="n">
        <x:v>0.01083032491</x:v>
      </x:c>
      <x:c r="J20" s="32" t="n">
        <x:v>105.0666667</x:v>
      </x:c>
      <x:c r="K20" s="32" t="str">
        <x:v>OCC</x:v>
      </x:c>
      <x:c r="L20" s="34" t="n">
        <x:f>IFERROR(H20/J20,"")</x:f>
        <x:v>1.0545685275842105</x:v>
      </x:c>
      <x:c r="M20" s="32" t="n">
        <x:v>395.8666667</x:v>
      </x:c>
      <x:c r="N20" s="32" t="n">
        <x:v>632</x:v>
      </x:c>
      <x:c r="O20" s="32" t="str">
        <x:v>OCC</x:v>
      </x:c>
      <x:c r="P20" s="34" t="n">
        <x:f>IFERROR(M20/N20,"")</x:f>
        <x:v>0.6263713080696203</x:v>
      </x:c>
      <x:c r="Q20" s="32" t="n">
        <x:v>285.0666667</x:v>
      </x:c>
      <x:c r="R20" s="32" t="n">
        <x:v>526.9333333</x:v>
      </x:c>
      <x:c r="S20" s="32" t="str">
        <x:v>OCC</x:v>
      </x:c>
      <x:c r="T20" s="34" t="n">
        <x:f>IFERROR(Q20/R20,"")</x:f>
        <x:v>0.5409919029314899</x:v>
      </x:c>
      <x:c r="U20" s="33" t="n">
        <x:v>0.01942113633</x:v>
      </x:c>
      <x:c r="V20" s="33" t="n">
        <x:v>0.03471053923</x:v>
      </x:c>
      <x:c r="W20" s="33" t="n">
        <x:f>IFERROR(U20-V20,"")</x:f>
        <x:v>-0.015289402899999995</x:v>
      </x:c>
      <x:c r="X20" s="30" t="n">
        <x:v>1761.488343</x:v>
      </x:c>
      <x:c r="Y20" s="30" t="n">
        <x:v>3956.348094</x:v>
      </x:c>
      <x:c r="Z20" s="33" t="n">
        <x:f>IFERROR(1-X20/Y20,"")</x:f>
        <x:v>0.554769120120804</x:v>
      </x:c>
      <x:c r="AA20" s="30" t="n">
        <x:v>27566.75182</x:v>
      </x:c>
      <x:c r="AB20" s="30" t="n">
        <x:v>28002.25445</x:v>
      </x:c>
      <x:c r="AC20" s="33" t="n">
        <x:f>IFERROR(1-AA20/AB20,"")</x:f>
        <x:v>0.015552413137935761</x:v>
      </x:c>
      <x:c r="AD20" s="33" t="n">
        <x:f>IFERROR(H20/H19-1,"")</x:f>
        <x:v>0.15416666666666656</x:v>
      </x:c>
      <x:c r="AE20" s="33" t="str">
        <x:f>IF(AD20&lt;-0.1,"drop &gt;10%",IF(AND(C20&gt;16,AD20&gt;0.5),"jump &gt;50%",""))</x:f>
      </x:c>
      <x:c r="AF20" s="33" t="n">
        <x:f>IFERROR(M20/M19-1,"")</x:f>
        <x:v>-0.4156662074190285</x:v>
      </x:c>
      <x:c r="AG20" s="33" t="n">
        <x:f>IFERROR(Q20/Q19-1,"")</x:f>
        <x:v>-0.509745471192975</x:v>
      </x:c>
      <x:c r="AH20" s="33" t="n">
        <x:f>IFERROR(X20/X19-1,"")</x:f>
        <x:v>-0.44270858075859865</x:v>
      </x:c>
      <x:c r="AI20" s="30" t="n">
        <x:v>5.333333333</x:v>
      </x:c>
      <x:c r="AJ20" s="30" t="n">
        <x:v>0</x:v>
      </x:c>
      <x:c r="AK20" s="30" t="n">
        <x:v>5.333333333</x:v>
      </x:c>
      <x:c r="AL20" s="30" t="n">
        <x:v>6</x:v>
      </x:c>
      <x:c r="AM20" s="30" t="n">
        <x:v>1032.4819768605382</x:v>
      </x:c>
      <x:c r="AN20" s="35" t="n">
        <x:f>IFERROR(AI20/AM20,"")</x:f>
        <x:v>0.005165546181461719</x:v>
      </x:c>
      <x:c r="AO20" s="35" t="n">
        <x:f>IFERROR(AJ20/AM20,"")</x:f>
        <x:v>0</x:v>
      </x:c>
      <x:c r="AP20" s="35" t="n">
        <x:f>IFERROR(AK20/AM20,"")</x:f>
        <x:v>0.005165546181461719</x:v>
      </x:c>
      <x:c r="AQ20" s="35" t="n">
        <x:f>IFERROR(AL20/AM20,"")</x:f>
        <x:v>0.0058112394545076365</x:v>
      </x:c>
      <x:c r="AR20" s="30" t="n">
        <x:v>632</x:v>
      </x:c>
      <x:c r="AS20" s="30" t="n">
        <x:v>0</x:v>
      </x:c>
      <x:c r="AT20" s="30" t="n">
        <x:v>0</x:v>
      </x:c>
      <x:c r="AU20" s="30" t="n">
        <x:v>0</x:v>
      </x:c>
      <x:c r="AV20" s="30" t="n">
        <x:v>5.333333333</x:v>
      </x:c>
      <x:c r="AW20" s="44" t="str">
        <x:v>matrix mean; seeds=940201,940202,940203</x:v>
      </x:c>
    </x:row>
    <x:row r="21">
      <x:c r="A21" s="30" t="str">
        <x:v>YCSB medium</x:v>
      </x:c>
      <x:c r="B21" s="31" t="n">
        <x:v>0.8</x:v>
      </x:c>
      <x:c r="C21" s="30" t="n">
        <x:v>40</x:v>
      </x:c>
      <x:c r="D21" s="30" t="n">
        <x:v>32</x:v>
      </x:c>
      <x:c r="E21" s="30" t="n">
        <x:v>8</x:v>
      </x:c>
      <x:c r="F21" s="30" t="n">
        <x:v>3</x:v>
      </x:c>
      <x:c r="G21" s="30" t="str">
        <x:v>matrix_mean</x:v>
      </x:c>
      <x:c r="H21" s="32" t="n">
        <x:v>109.3333333</x:v>
      </x:c>
      <x:c r="I21" s="33" t="n">
        <x:v>0.03196424981</x:v>
      </x:c>
      <x:c r="J21" s="32" t="n">
        <x:v>118.8</x:v>
      </x:c>
      <x:c r="K21" s="32" t="str">
        <x:v>OCC</x:v>
      </x:c>
      <x:c r="L21" s="34" t="n">
        <x:f>IFERROR(H21/J21,"")</x:f>
        <x:v>0.9203142533670035</x:v>
      </x:c>
      <x:c r="M21" s="32" t="n">
        <x:v>367.4666667</x:v>
      </x:c>
      <x:c r="N21" s="32" t="n">
        <x:v>587.6</x:v>
      </x:c>
      <x:c r="O21" s="32" t="str">
        <x:v>Polaris</x:v>
      </x:c>
      <x:c r="P21" s="34" t="n">
        <x:f>IFERROR(M21/N21,"")</x:f>
        <x:v>0.6253687316201497</x:v>
      </x:c>
      <x:c r="Q21" s="32" t="n">
        <x:v>258.1333333</x:v>
      </x:c>
      <x:c r="R21" s="32" t="n">
        <x:v>475.3333333</x:v>
      </x:c>
      <x:c r="S21" s="32" t="str">
        <x:v>Polaris</x:v>
      </x:c>
      <x:c r="T21" s="34" t="n">
        <x:f>IFERROR(Q21/R21,"")</x:f>
        <x:v>0.5430575034742677</x:v>
      </x:c>
      <x:c r="U21" s="33" t="n">
        <x:v>0.02249742117</x:v>
      </x:c>
      <x:c r="V21" s="33" t="n">
        <x:v>0.02399164579</x:v>
      </x:c>
      <x:c r="W21" s="33" t="n">
        <x:f>IFERROR(U21-V21,"")</x:f>
        <x:v>-0.0014942246199999981</x:v>
      </x:c>
      <x:c r="X21" s="30" t="n">
        <x:v>3570.983132</x:v>
      </x:c>
      <x:c r="Y21" s="30" t="n">
        <x:v>2659.908684</x:v>
      </x:c>
      <x:c r="Z21" s="33" t="n">
        <x:f>IFERROR(1-X21/Y21,"")</x:f>
        <x:v>-0.34252094948985845</x:v>
      </x:c>
      <x:c r="AA21" s="30" t="n">
        <x:v>27652.78286</x:v>
      </x:c>
      <x:c r="AB21" s="30" t="n">
        <x:v>27695.87419</x:v>
      </x:c>
      <x:c r="AC21" s="33" t="n">
        <x:f>IFERROR(1-AA21/AB21,"")</x:f>
        <x:v>0.001555875424057107</x:v>
      </x:c>
      <x:c r="AD21" s="33" t="n">
        <x:f>IFERROR(H21/H20-1,"")</x:f>
        <x:v>-0.013237064079422267</x:v>
      </x:c>
      <x:c r="AE21" s="33" t="str">
        <x:f>IF(AD21&lt;-0.1,"drop &gt;10%",IF(AND(C21&gt;16,AD21&gt;0.5),"jump &gt;50%",""))</x:f>
      </x:c>
      <x:c r="AF21" s="33" t="n">
        <x:f>IFERROR(M21/M20-1,"")</x:f>
        <x:v>-0.07174132704010261</x:v>
      </x:c>
      <x:c r="AG21" s="33" t="n">
        <x:f>IFERROR(Q21/Q20-1,"")</x:f>
        <x:v>-0.0944808234220672</x:v>
      </x:c>
      <x:c r="AH21" s="33" t="n">
        <x:f>IFERROR(X21/X20-1,"")</x:f>
        <x:v>1.0272533429987054</x:v>
      </x:c>
      <x:c r="AI21" s="30" t="n">
        <x:v>6</x:v>
      </x:c>
      <x:c r="AJ21" s="30" t="n">
        <x:v>0</x:v>
      </x:c>
      <x:c r="AK21" s="30" t="n">
        <x:v>6</x:v>
      </x:c>
      <x:c r="AL21" s="30" t="n">
        <x:v>7</x:v>
      </x:c>
      <x:c r="AM21" s="30" t="n">
        <x:v>973.3332111250119</x:v>
      </x:c>
      <x:c r="AN21" s="35" t="n">
        <x:f>IFERROR(AI21/AM21,"")</x:f>
        <x:v>0.006164384335622324</x:v>
      </x:c>
      <x:c r="AO21" s="35" t="n">
        <x:f>IFERROR(AJ21/AM21,"")</x:f>
        <x:v>0</x:v>
      </x:c>
      <x:c r="AP21" s="35" t="n">
        <x:f>IFERROR(AK21/AM21,"")</x:f>
        <x:v>0.006164384335622324</x:v>
      </x:c>
      <x:c r="AQ21" s="35" t="n">
        <x:f>IFERROR(AL21/AM21,"")</x:f>
        <x:v>0.007191781724892712</x:v>
      </x:c>
      <x:c r="AR21" s="30" t="n">
        <x:v>704.6666667</x:v>
      </x:c>
      <x:c r="AS21" s="30" t="n">
        <x:v>0</x:v>
      </x:c>
      <x:c r="AT21" s="30" t="n">
        <x:v>0.3333333333</x:v>
      </x:c>
      <x:c r="AU21" s="30" t="n">
        <x:v>80.70973524</x:v>
      </x:c>
      <x:c r="AV21" s="30" t="n">
        <x:v>6</x:v>
      </x:c>
      <x:c r="AW21" s="44" t="str">
        <x:v>matrix mean; seeds=940201,940202,940203</x:v>
      </x:c>
    </x:row>
    <x:row r="22">
      <x:c r="A22" s="30" t="str">
        <x:v>YCSB high</x:v>
      </x:c>
      <x:c r="B22" s="31" t="n">
        <x:v>1</x:v>
      </x:c>
      <x:c r="C22" s="30" t="n">
        <x:v>8</x:v>
      </x:c>
      <x:c r="D22" s="30" t="n">
        <x:v>8</x:v>
      </x:c>
      <x:c r="E22" s="30" t="n">
        <x:v>0</x:v>
      </x:c>
      <x:c r="F22" s="30" t="n">
        <x:v>3</x:v>
      </x:c>
      <x:c r="G22" s="30" t="str">
        <x:v>matrix_mean</x:v>
      </x:c>
      <x:c r="H22" s="32" t="n">
        <x:v>15.46666667</x:v>
      </x:c>
      <x:c r="I22" s="33" t="n">
        <x:v>0.1470579492</x:v>
      </x:c>
      <x:c r="J22" s="32" t="n">
        <x:v>16.8</x:v>
      </x:c>
      <x:c r="K22" s="32" t="str">
        <x:v>Silo</x:v>
      </x:c>
      <x:c r="L22" s="34" t="n">
        <x:f>IFERROR(H22/J22,"")</x:f>
        <x:v>0.9206349208333333</x:v>
      </x:c>
      <x:c r="M22" s="32" t="n">
        <x:v>15.46666667</x:v>
      </x:c>
      <x:c r="N22" s="32" t="n">
        <x:v>16.8</x:v>
      </x:c>
      <x:c r="O22" s="32" t="str">
        <x:v>Silo</x:v>
      </x:c>
      <x:c r="P22" s="34" t="n">
        <x:f>IFERROR(M22/N22,"")</x:f>
        <x:v>0.9206349208333333</x:v>
      </x:c>
      <x:c r="Q22" s="32" t="n">
        <x:v>0</x:v>
      </x:c>
      <x:c r="R22" s="32"/>
      <x:c r="S22" s="32" t="str"/>
      <x:c r="T22" s="34" t="str">
        <x:f>IFERROR(Q22/R22,"")</x:f>
      </x:c>
      <x:c r="U22" s="33" t="n">
        <x:v>0.175955491</x:v>
      </x:c>
      <x:c r="V22" s="33" t="n">
        <x:v>0.1394043777</x:v>
      </x:c>
      <x:c r="W22" s="33" t="n">
        <x:f>IFERROR(U22-V22,"")</x:f>
        <x:v>0.03655111329999999</x:v>
      </x:c>
      <x:c r="X22" s="30" t="n">
        <x:v>4949.181798</x:v>
      </x:c>
      <x:c r="Y22" s="30" t="n">
        <x:v>4583.48905</x:v>
      </x:c>
      <x:c r="Z22" s="33" t="n">
        <x:f>IFERROR(1-X22/Y22,"")</x:f>
        <x:v>-0.07978479800229898</x:v>
      </x:c>
      <x:c r="AA22" s="30" t="n">
        <x:v>32817.01587</x:v>
      </x:c>
      <x:c r="AB22" s="30" t="n">
        <x:v>31427.64401</x:v>
      </x:c>
      <x:c r="AC22" s="33" t="n">
        <x:f>IFERROR(1-AA22/AB22,"")</x:f>
        <x:v>-0.04420859099580987</x:v>
      </x:c>
      <x:c r="AD22" s="33"/>
      <x:c r="AE22" s="33"/>
      <x:c r="AF22" s="33"/>
      <x:c r="AG22" s="33"/>
      <x:c r="AH22" s="33"/>
      <x:c r="AI22" s="30" t="n">
        <x:v>3.333333333</x:v>
      </x:c>
      <x:c r="AJ22" s="30" t="n">
        <x:v>0</x:v>
      </x:c>
      <x:c r="AK22" s="30" t="n">
        <x:v>3.333333333</x:v>
      </x:c>
      <x:c r="AL22" s="30" t="n">
        <x:v>10</x:v>
      </x:c>
      <x:c r="AM22" s="30" t="n">
        <x:v>57.044053720207366</x:v>
      </x:c>
      <x:c r="AN22" s="35" t="n">
        <x:f>IFERROR(AI22/AM22,"")</x:f>
        <x:v>0.05843436985298251</x:v>
      </x:c>
      <x:c r="AO22" s="35" t="n">
        <x:f>IFERROR(AJ22/AM22,"")</x:f>
        <x:v>0</x:v>
      </x:c>
      <x:c r="AP22" s="35" t="n">
        <x:f>IFERROR(AK22/AM22,"")</x:f>
        <x:v>0.05843436985298251</x:v>
      </x:c>
      <x:c r="AQ22" s="35" t="n">
        <x:f>IFERROR(AL22/AM22,"")</x:f>
        <x:v>0.17530310957647785</x:v>
      </x:c>
      <x:c r="AR22" s="30" t="n">
        <x:v>4780</x:v>
      </x:c>
      <x:c r="AS22" s="30" t="n">
        <x:v>0</x:v>
      </x:c>
      <x:c r="AT22" s="30" t="n">
        <x:v>1.333333333</x:v>
      </x:c>
      <x:c r="AU22" s="30" t="n">
        <x:v>10.34453216</x:v>
      </x:c>
      <x:c r="AV22" s="30" t="n">
        <x:v>3.333333333</x:v>
      </x:c>
      <x:c r="AW22" s="44" t="str">
        <x:v>matrix mean; seeds=940201,940202,940203</x:v>
      </x:c>
    </x:row>
    <x:row r="23">
      <x:c r="A23" s="30" t="str">
        <x:v>YCSB high</x:v>
      </x:c>
      <x:c r="B23" s="31" t="n">
        <x:v>1</x:v>
      </x:c>
      <x:c r="C23" s="30" t="n">
        <x:v>16</x:v>
      </x:c>
      <x:c r="D23" s="30" t="n">
        <x:v>16</x:v>
      </x:c>
      <x:c r="E23" s="30" t="n">
        <x:v>0</x:v>
      </x:c>
      <x:c r="F23" s="30" t="n">
        <x:v>3</x:v>
      </x:c>
      <x:c r="G23" s="30" t="str">
        <x:v>matrix_mean</x:v>
      </x:c>
      <x:c r="H23" s="32" t="n">
        <x:v>25.86666667</x:v>
      </x:c>
      <x:c r="I23" s="33" t="n">
        <x:v>0.1778910714</x:v>
      </x:c>
      <x:c r="J23" s="32" t="n">
        <x:v>20.26666667</x:v>
      </x:c>
      <x:c r="K23" s="32" t="str">
        <x:v>Silo</x:v>
      </x:c>
      <x:c r="L23" s="34" t="n">
        <x:f>IFERROR(H23/J23,"")</x:f>
        <x:v>1.2763157894282375</x:v>
      </x:c>
      <x:c r="M23" s="32" t="n">
        <x:v>25.86666667</x:v>
      </x:c>
      <x:c r="N23" s="32" t="n">
        <x:v>20.26666667</x:v>
      </x:c>
      <x:c r="O23" s="32" t="str">
        <x:v>Silo</x:v>
      </x:c>
      <x:c r="P23" s="34" t="n">
        <x:f>IFERROR(M23/N23,"")</x:f>
        <x:v>1.2763157894282375</x:v>
      </x:c>
      <x:c r="Q23" s="32" t="n">
        <x:v>0</x:v>
      </x:c>
      <x:c r="R23" s="32"/>
      <x:c r="S23" s="32" t="str"/>
      <x:c r="T23" s="34" t="str">
        <x:f>IFERROR(Q23/R23,"")</x:f>
      </x:c>
      <x:c r="U23" s="33" t="n">
        <x:v>0.1843382808</x:v>
      </x:c>
      <x:c r="V23" s="33" t="n">
        <x:v>0.2379905405</x:v>
      </x:c>
      <x:c r="W23" s="33" t="n">
        <x:f>IFERROR(U23-V23,"")</x:f>
        <x:v>-0.05365225969999998</x:v>
      </x:c>
      <x:c r="X23" s="30" t="n">
        <x:v>4651.431255</x:v>
      </x:c>
      <x:c r="Y23" s="30" t="n">
        <x:v>6002.825712</x:v>
      </x:c>
      <x:c r="Z23" s="33" t="n">
        <x:f>IFERROR(1-X23/Y23,"")</x:f>
        <x:v>0.22512638577836486</x:v>
      </x:c>
      <x:c r="AA23" s="30" t="n">
        <x:v>33164.82823</x:v>
      </x:c>
      <x:c r="AB23" s="30" t="n">
        <x:v>35497.08974</x:v>
      </x:c>
      <x:c r="AC23" s="33" t="n">
        <x:f>IFERROR(1-AA23/AB23,"")</x:f>
        <x:v>0.06570289359163684</x:v>
      </x:c>
      <x:c r="AD23" s="33" t="n">
        <x:f>IFERROR(H23/H22-1,"")</x:f>
        <x:v>0.6724137929585314</x:v>
      </x:c>
      <x:c r="AE23" s="33" t="str">
        <x:f>IF(AD23&lt;-0.1,"drop &gt;10%",IF(AND(C23&gt;16,AD23&gt;0.5),"jump &gt;50%",""))</x:f>
      </x:c>
      <x:c r="AF23" s="33" t="n">
        <x:f>IFERROR(M23/M22-1,"")</x:f>
        <x:v>0.6724137929585314</x:v>
      </x:c>
      <x:c r="AG23" s="33" t="str">
        <x:f>IFERROR(Q23/Q22-1,"")</x:f>
      </x:c>
      <x:c r="AH23" s="33" t="n">
        <x:f>IFERROR(X23/X22-1,"")</x:f>
        <x:v>-0.060161569154788874</x:v>
      </x:c>
      <x:c r="AI23" s="30" t="n">
        <x:v>3.333333333</x:v>
      </x:c>
      <x:c r="AJ23" s="30" t="n">
        <x:v>0</x:v>
      </x:c>
      <x:c r="AK23" s="30" t="n">
        <x:v>3.333333333</x:v>
      </x:c>
      <x:c r="AL23" s="30" t="n">
        <x:v>18</x:v>
      </x:c>
      <x:c r="AM23" s="30" t="n">
        <x:v>98.88887846378674</x:v>
      </x:c>
      <x:c r="AN23" s="35" t="n">
        <x:f>IFERROR(AI23/AM23,"")</x:f>
        <x:v>0.03370786871873233</x:v>
      </x:c>
      <x:c r="AO23" s="35" t="n">
        <x:f>IFERROR(AJ23/AM23,"")</x:f>
        <x:v>0</x:v>
      </x:c>
      <x:c r="AP23" s="35" t="n">
        <x:f>IFERROR(AK23/AM23,"")</x:f>
        <x:v>0.03370786871873233</x:v>
      </x:c>
      <x:c r="AQ23" s="35" t="n">
        <x:f>IFERROR(AL23/AM23,"")</x:f>
        <x:v>0.1820224910993568</x:v>
      </x:c>
      <x:c r="AR23" s="30" t="n">
        <x:v>3463.333333</x:v>
      </x:c>
      <x:c r="AS23" s="30" t="n">
        <x:v>0</x:v>
      </x:c>
      <x:c r="AT23" s="30" t="n">
        <x:v>5.333333333</x:v>
      </x:c>
      <x:c r="AU23" s="30" t="n">
        <x:v>128.9487846</x:v>
      </x:c>
      <x:c r="AV23" s="30" t="n">
        <x:v>3.333333333</x:v>
      </x:c>
      <x:c r="AW23" s="44" t="str">
        <x:v>matrix mean; seeds=940201,940202,940203</x:v>
      </x:c>
    </x:row>
    <x:row r="24">
      <x:c r="A24" s="30" t="str">
        <x:v>YCSB high</x:v>
      </x:c>
      <x:c r="B24" s="31" t="n">
        <x:v>1</x:v>
      </x:c>
      <x:c r="C24" s="30" t="n">
        <x:v>24</x:v>
      </x:c>
      <x:c r="D24" s="30" t="n">
        <x:v>24</x:v>
      </x:c>
      <x:c r="E24" s="30" t="n">
        <x:v>0</x:v>
      </x:c>
      <x:c r="F24" s="30" t="n">
        <x:v>3</x:v>
      </x:c>
      <x:c r="G24" s="30" t="str">
        <x:v>matrix_mean</x:v>
      </x:c>
      <x:c r="H24" s="32" t="n">
        <x:v>29.2</x:v>
      </x:c>
      <x:c r="I24" s="33" t="n">
        <x:v>0.0762707447</x:v>
      </x:c>
      <x:c r="J24" s="32" t="n">
        <x:v>23.86666667</x:v>
      </x:c>
      <x:c r="K24" s="32" t="str">
        <x:v>Silo</x:v>
      </x:c>
      <x:c r="L24" s="34" t="n">
        <x:f>IFERROR(H24/J24,"")</x:f>
        <x:v>1.223463686979963</x:v>
      </x:c>
      <x:c r="M24" s="32" t="n">
        <x:v>29.2</x:v>
      </x:c>
      <x:c r="N24" s="32" t="n">
        <x:v>23.86666667</x:v>
      </x:c>
      <x:c r="O24" s="32" t="str">
        <x:v>Silo</x:v>
      </x:c>
      <x:c r="P24" s="34" t="n">
        <x:f>IFERROR(M24/N24,"")</x:f>
        <x:v>1.223463686979963</x:v>
      </x:c>
      <x:c r="Q24" s="32" t="n">
        <x:v>0</x:v>
      </x:c>
      <x:c r="R24" s="32"/>
      <x:c r="S24" s="32" t="str"/>
      <x:c r="T24" s="34" t="str">
        <x:f>IFERROR(Q24/R24,"")</x:f>
      </x:c>
      <x:c r="U24" s="33" t="n">
        <x:v>0.2458170656</x:v>
      </x:c>
      <x:c r="V24" s="33" t="n">
        <x:v>0.2690552872</x:v>
      </x:c>
      <x:c r="W24" s="33" t="n">
        <x:f>IFERROR(U24-V24,"")</x:f>
        <x:v>-0.023238221599999997</x:v>
      </x:c>
      <x:c r="X24" s="30" t="n">
        <x:v>5294.847052</x:v>
      </x:c>
      <x:c r="Y24" s="30" t="n">
        <x:v>6092.180429</x:v>
      </x:c>
      <x:c r="Z24" s="33" t="n">
        <x:f>IFERROR(1-X24/Y24,"")</x:f>
        <x:v>0.13087816198032043</x:v>
      </x:c>
      <x:c r="AA24" s="30" t="n">
        <x:v>35843.08739</x:v>
      </x:c>
      <x:c r="AB24" s="30" t="n">
        <x:v>37007.01754</x:v>
      </x:c>
      <x:c r="AC24" s="33" t="n">
        <x:f>IFERROR(1-AA24/AB24,"")</x:f>
        <x:v>0.03145160640794509</x:v>
      </x:c>
      <x:c r="AD24" s="33" t="n">
        <x:f>IFERROR(H24/H23-1,"")</x:f>
        <x:v>0.12886597923597076</x:v>
      </x:c>
      <x:c r="AE24" s="33" t="str">
        <x:f>IF(AD24&lt;-0.1,"drop &gt;10%",IF(AND(C24&gt;16,AD24&gt;0.5),"jump &gt;50%",""))</x:f>
      </x:c>
      <x:c r="AF24" s="33" t="n">
        <x:f>IFERROR(M24/M23-1,"")</x:f>
        <x:v>0.12886597923597076</x:v>
      </x:c>
      <x:c r="AG24" s="33" t="str">
        <x:f>IFERROR(Q24/Q23-1,"")</x:f>
      </x:c>
      <x:c r="AH24" s="33" t="n">
        <x:f>IFERROR(X24/X23-1,"")</x:f>
        <x:v>0.138326412178696</x:v>
      </x:c>
      <x:c r="AI24" s="30" t="n">
        <x:v>7</x:v>
      </x:c>
      <x:c r="AJ24" s="30" t="n">
        <x:v>0</x:v>
      </x:c>
      <x:c r="AK24" s="30" t="n">
        <x:v>7</x:v>
      </x:c>
      <x:c r="AL24" s="30" t="n">
        <x:v>31.66666667</x:v>
      </x:c>
      <x:c r="AM24" s="30" t="n">
        <x:v>128.80831331092875</x:v>
      </x:c>
      <x:c r="AN24" s="35" t="n">
        <x:f>IFERROR(AI24/AM24,"")</x:f>
        <x:v>0.054344318468814885</x:v>
      </x:c>
      <x:c r="AO24" s="35" t="n">
        <x:f>IFERROR(AJ24/AM24,"")</x:f>
        <x:v>0</x:v>
      </x:c>
      <x:c r="AP24" s="35" t="n">
        <x:f>IFERROR(AK24/AM24,"")</x:f>
        <x:v>0.054344318468814885</x:v>
      </x:c>
      <x:c r="AQ24" s="35" t="n">
        <x:f>IFERROR(AL24/AM24,"")</x:f>
        <x:v>0.24584334548004086</x:v>
      </x:c>
      <x:c r="AR24" s="30" t="n">
        <x:v>9007</x:v>
      </x:c>
      <x:c r="AS24" s="30" t="n">
        <x:v>0</x:v>
      </x:c>
      <x:c r="AT24" s="30" t="n">
        <x:v>12</x:v>
      </x:c>
      <x:c r="AU24" s="30" t="n">
        <x:v>418.6094408</x:v>
      </x:c>
      <x:c r="AV24" s="30" t="n">
        <x:v>7</x:v>
      </x:c>
      <x:c r="AW24" s="44" t="str">
        <x:v>matrix mean; seeds=940201,940202,940203</x:v>
      </x:c>
    </x:row>
    <x:row r="25">
      <x:c r="A25" s="30" t="str">
        <x:v>YCSB high</x:v>
      </x:c>
      <x:c r="B25" s="31" t="n">
        <x:v>1</x:v>
      </x:c>
      <x:c r="C25" s="30" t="n">
        <x:v>32</x:v>
      </x:c>
      <x:c r="D25" s="30" t="n">
        <x:v>32</x:v>
      </x:c>
      <x:c r="E25" s="30" t="n">
        <x:v>0</x:v>
      </x:c>
      <x:c r="F25" s="30" t="n">
        <x:v>3</x:v>
      </x:c>
      <x:c r="G25" s="30" t="str">
        <x:v>matrix_mean</x:v>
      </x:c>
      <x:c r="H25" s="32" t="n">
        <x:v>31.86666667</x:v>
      </x:c>
      <x:c r="I25" s="33" t="n">
        <x:v>0.2017500159</x:v>
      </x:c>
      <x:c r="J25" s="32" t="n">
        <x:v>26.26666667</x:v>
      </x:c>
      <x:c r="K25" s="32" t="str">
        <x:v>Silo</x:v>
      </x:c>
      <x:c r="L25" s="34" t="n">
        <x:f>IFERROR(H25/J25,"")</x:f>
        <x:v>1.2131979695160917</x:v>
      </x:c>
      <x:c r="M25" s="32" t="n">
        <x:v>31.86666667</x:v>
      </x:c>
      <x:c r="N25" s="32" t="n">
        <x:v>26.26666667</x:v>
      </x:c>
      <x:c r="O25" s="32" t="str">
        <x:v>Silo</x:v>
      </x:c>
      <x:c r="P25" s="34" t="n">
        <x:f>IFERROR(M25/N25,"")</x:f>
        <x:v>1.2131979695160917</x:v>
      </x:c>
      <x:c r="Q25" s="32" t="n">
        <x:v>0</x:v>
      </x:c>
      <x:c r="R25" s="32"/>
      <x:c r="S25" s="32" t="str"/>
      <x:c r="T25" s="34" t="str">
        <x:f>IFERROR(Q25/R25,"")</x:f>
      </x:c>
      <x:c r="U25" s="33" t="n">
        <x:v>0.2916659945</x:v>
      </x:c>
      <x:c r="V25" s="33" t="n">
        <x:v>0.3026764543</x:v>
      </x:c>
      <x:c r="W25" s="33" t="n">
        <x:f>IFERROR(U25-V25,"")</x:f>
        <x:v>-0.011010459799999983</x:v>
      </x:c>
      <x:c r="X25" s="30" t="n">
        <x:v>6927.075003</x:v>
      </x:c>
      <x:c r="Y25" s="30" t="n">
        <x:v>7595.613552</x:v>
      </x:c>
      <x:c r="Z25" s="33" t="n">
        <x:f>IFERROR(1-X25/Y25,"")</x:f>
        <x:v>0.08801639846776654</x:v>
      </x:c>
      <x:c r="AA25" s="30" t="n">
        <x:v>38178.30733</x:v>
      </x:c>
      <x:c r="AB25" s="30" t="n">
        <x:v>38766.16873</x:v>
      </x:c>
      <x:c r="AC25" s="33" t="n">
        <x:f>IFERROR(1-AA25/AB25,"")</x:f>
        <x:v>0.015164289359992034</x:v>
      </x:c>
      <x:c r="AD25" s="33" t="n">
        <x:f>IFERROR(H25/H24-1,"")</x:f>
        <x:v>0.09132420102739736</x:v>
      </x:c>
      <x:c r="AE25" s="33" t="str">
        <x:f>IF(AD25&lt;-0.1,"drop &gt;10%",IF(AND(C25&gt;16,AD25&gt;0.5),"jump &gt;50%",""))</x:f>
      </x:c>
      <x:c r="AF25" s="33" t="n">
        <x:f>IFERROR(M25/M24-1,"")</x:f>
        <x:v>0.09132420102739736</x:v>
      </x:c>
      <x:c r="AG25" s="33" t="str">
        <x:f>IFERROR(Q25/Q24-1,"")</x:f>
      </x:c>
      <x:c r="AH25" s="33" t="n">
        <x:f>IFERROR(X25/X24-1,"")</x:f>
        <x:v>0.3082672520981442</x:v>
      </x:c>
      <x:c r="AI25" s="30" t="n">
        <x:v>10.66666667</x:v>
      </x:c>
      <x:c r="AJ25" s="30" t="n">
        <x:v>0</x:v>
      </x:c>
      <x:c r="AK25" s="30" t="n">
        <x:v>10.66666667</x:v>
      </x:c>
      <x:c r="AL25" s="30" t="n">
        <x:v>45.66666667</x:v>
      </x:c>
      <x:c r="AM25" s="30" t="n">
        <x:v>157.90413166956023</x:v>
      </x:c>
      <x:c r="AN25" s="35" t="n">
        <x:f>IFERROR(AI25/AM25,"")</x:f>
        <x:v>0.06755153622149491</x:v>
      </x:c>
      <x:c r="AO25" s="35" t="n">
        <x:f>IFERROR(AJ25/AM25,"")</x:f>
        <x:v>0</x:v>
      </x:c>
      <x:c r="AP25" s="35" t="n">
        <x:f>IFERROR(AK25/AM25,"")</x:f>
        <x:v>0.06755153622149491</x:v>
      </x:c>
      <x:c r="AQ25" s="35" t="n">
        <x:f>IFERROR(AL25/AM25,"")</x:f>
        <x:v>0.28920501437900836</x:v>
      </x:c>
      <x:c r="AR25" s="30" t="n">
        <x:v>25163.33333</x:v>
      </x:c>
      <x:c r="AS25" s="30" t="n">
        <x:v>0</x:v>
      </x:c>
      <x:c r="AT25" s="30" t="n">
        <x:v>21.33333333</x:v>
      </x:c>
      <x:c r="AU25" s="30" t="n">
        <x:v>877.2942388</x:v>
      </x:c>
      <x:c r="AV25" s="30" t="n">
        <x:v>10.66666667</x:v>
      </x:c>
      <x:c r="AW25" s="44" t="str">
        <x:v>matrix mean; seeds=940201,940202,940203</x:v>
      </x:c>
    </x:row>
    <x:row r="26">
      <x:c r="A26" s="30" t="str">
        <x:v>YCSB high</x:v>
      </x:c>
      <x:c r="B26" s="31" t="n">
        <x:v>1</x:v>
      </x:c>
      <x:c r="C26" s="30" t="n">
        <x:v>40</x:v>
      </x:c>
      <x:c r="D26" s="30" t="n">
        <x:v>40</x:v>
      </x:c>
      <x:c r="E26" s="30" t="n">
        <x:v>0</x:v>
      </x:c>
      <x:c r="F26" s="30" t="n">
        <x:v>3</x:v>
      </x:c>
      <x:c r="G26" s="30" t="str">
        <x:v>matrix_mean</x:v>
      </x:c>
      <x:c r="H26" s="32" t="n">
        <x:v>32</x:v>
      </x:c>
      <x:c r="I26" s="33" t="n">
        <x:v>0.06959705454</x:v>
      </x:c>
      <x:c r="J26" s="32" t="n">
        <x:v>29.46666667</x:v>
      </x:c>
      <x:c r="K26" s="32" t="str">
        <x:v>OCC</x:v>
      </x:c>
      <x:c r="L26" s="34" t="n">
        <x:f>IFERROR(H26/J26,"")</x:f>
        <x:v>1.0859728505558854</x:v>
      </x:c>
      <x:c r="M26" s="32" t="n">
        <x:v>32</x:v>
      </x:c>
      <x:c r="N26" s="32" t="n">
        <x:v>29.46666667</x:v>
      </x:c>
      <x:c r="O26" s="32" t="str">
        <x:v>OCC</x:v>
      </x:c>
      <x:c r="P26" s="34" t="n">
        <x:f>IFERROR(M26/N26,"")</x:f>
        <x:v>1.0859728505558854</x:v>
      </x:c>
      <x:c r="Q26" s="32" t="n">
        <x:v>0</x:v>
      </x:c>
      <x:c r="R26" s="32"/>
      <x:c r="S26" s="32" t="str"/>
      <x:c r="T26" s="34" t="str">
        <x:f>IFERROR(Q26/R26,"")</x:f>
      </x:c>
      <x:c r="U26" s="33" t="n">
        <x:v>0.3076869194</x:v>
      </x:c>
      <x:c r="V26" s="33" t="n">
        <x:v>0.3274255259</x:v>
      </x:c>
      <x:c r="W26" s="33" t="n">
        <x:f>IFERROR(U26-V26,"")</x:f>
        <x:v>-0.019738606500000033</x:v>
      </x:c>
      <x:c r="X26" s="30" t="n">
        <x:v>7546.276557</x:v>
      </x:c>
      <x:c r="Y26" s="30" t="n">
        <x:v>7077.872394</x:v>
      </x:c>
      <x:c r="Z26" s="33" t="n">
        <x:f>IFERROR(1-X26/Y26,"")</x:f>
        <x:v>-0.06617866739121658</x:v>
      </x:c>
      <x:c r="AA26" s="30" t="n">
        <x:v>39043.04072</x:v>
      </x:c>
      <x:c r="AB26" s="30" t="n">
        <x:v>40193.83399</x:v>
      </x:c>
      <x:c r="AC26" s="33" t="n">
        <x:f>IFERROR(1-AA26/AB26,"")</x:f>
        <x:v>0.02863108979069562</x:v>
      </x:c>
      <x:c r="AD26" s="33" t="n">
        <x:f>IFERROR(H26/H25-1,"")</x:f>
        <x:v>0.0041841003133697985</x:v>
      </x:c>
      <x:c r="AE26" s="33" t="str">
        <x:f>IF(AD26&lt;-0.1,"drop &gt;10%",IF(AND(C26&gt;16,AD26&gt;0.5),"jump &gt;50%",""))</x:f>
      </x:c>
      <x:c r="AF26" s="33" t="n">
        <x:f>IFERROR(M26/M25-1,"")</x:f>
        <x:v>0.0041841003133697985</x:v>
      </x:c>
      <x:c r="AG26" s="33" t="str">
        <x:f>IFERROR(Q26/Q25-1,"")</x:f>
      </x:c>
      <x:c r="AH26" s="33" t="n">
        <x:f>IFERROR(X26/X25-1,"")</x:f>
        <x:v>0.08938860250998215</x:v>
      </x:c>
      <x:c r="AI26" s="30" t="n">
        <x:v>20.66666667</x:v>
      </x:c>
      <x:c r="AJ26" s="30" t="n">
        <x:v>0</x:v>
      </x:c>
      <x:c r="AK26" s="30" t="n">
        <x:v>20.66666667</x:v>
      </x:c>
      <x:c r="AL26" s="30" t="n">
        <x:v>53.33333333</x:v>
      </x:c>
      <x:c r="AM26" s="30" t="n">
        <x:v>176.75726180836983</x:v>
      </x:c>
      <x:c r="AN26" s="35" t="n">
        <x:f>IFERROR(AI26/AM26,"")</x:f>
        <x:v>0.11692117460161623</x:v>
      </x:c>
      <x:c r="AO26" s="35" t="n">
        <x:f>IFERROR(AJ26/AM26,"")</x:f>
        <x:v>0</x:v>
      </x:c>
      <x:c r="AP26" s="35" t="n">
        <x:f>IFERROR(AK26/AM26,"")</x:f>
        <x:v>0.11692117460161623</x:v>
      </x:c>
      <x:c r="AQ26" s="35" t="n">
        <x:f>IFERROR(AL26/AM26,"")</x:f>
        <x:v>0.30173206342051717</x:v>
      </x:c>
      <x:c r="AR26" s="30" t="n">
        <x:v>30401.33333</x:v>
      </x:c>
      <x:c r="AS26" s="30" t="n">
        <x:v>0</x:v>
      </x:c>
      <x:c r="AT26" s="30" t="n">
        <x:v>51</x:v>
      </x:c>
      <x:c r="AU26" s="30" t="n">
        <x:v>9120.65669</x:v>
      </x:c>
      <x:c r="AV26" s="30" t="n">
        <x:v>20.66666667</x:v>
      </x:c>
      <x:c r="AW26" s="44" t="str">
        <x:v>matrix mean; seeds=940201,940202,940203</x:v>
      </x:c>
    </x:row>
    <x:row r="27">
      <x:c r="A27" s="30" t="str">
        <x:v>YCSB high</x:v>
      </x:c>
      <x:c r="B27" s="31" t="n">
        <x:v>0.8</x:v>
      </x:c>
      <x:c r="C27" s="30" t="n">
        <x:v>8</x:v>
      </x:c>
      <x:c r="D27" s="30" t="n">
        <x:v>6</x:v>
      </x:c>
      <x:c r="E27" s="30" t="n">
        <x:v>2</x:v>
      </x:c>
      <x:c r="F27" s="30" t="n">
        <x:v>3</x:v>
      </x:c>
      <x:c r="G27" s="30" t="str">
        <x:v>matrix_mean</x:v>
      </x:c>
      <x:c r="H27" s="32" t="n">
        <x:v>10.53333333</x:v>
      </x:c>
      <x:c r="I27" s="33" t="n">
        <x:v>0.2799157517</x:v>
      </x:c>
      <x:c r="J27" s="32" t="n">
        <x:v>0.4</x:v>
      </x:c>
      <x:c r="K27" s="32" t="str">
        <x:v>Silo</x:v>
      </x:c>
      <x:c r="L27" s="34" t="n">
        <x:f>IFERROR(H27/J27,"")</x:f>
        <x:v>26.333333324999998</x:v>
      </x:c>
      <x:c r="M27" s="32" t="n">
        <x:v>757.0666667</x:v>
      </x:c>
      <x:c r="N27" s="32" t="n">
        <x:v>3284.666667</x:v>
      </x:c>
      <x:c r="O27" s="32" t="str">
        <x:v>OCC</x:v>
      </x:c>
      <x:c r="P27" s="34" t="n">
        <x:f>IFERROR(M27/N27,"")</x:f>
        <x:v>0.23048508218687996</x:v>
      </x:c>
      <x:c r="Q27" s="32" t="n">
        <x:v>746.5333333</x:v>
      </x:c>
      <x:c r="R27" s="32" t="n">
        <x:v>3284.4</x:v>
      </x:c>
      <x:c r="S27" s="32" t="str">
        <x:v>OCC</x:v>
      </x:c>
      <x:c r="T27" s="34" t="n">
        <x:f>IFERROR(Q27/R27,"")</x:f>
        <x:v>0.22729671577761537</x:v>
      </x:c>
      <x:c r="U27" s="33" t="n">
        <x:v>0.1601851852</x:v>
      </x:c>
      <x:c r="V27" s="33" t="n">
        <x:v>0.5226244344</x:v>
      </x:c>
      <x:c r="W27" s="33" t="n">
        <x:f>IFERROR(U27-V27,"")</x:f>
        <x:v>-0.3624392491999999</x:v>
      </x:c>
      <x:c r="X27" s="30" t="n">
        <x:v>4469.49346</x:v>
      </x:c>
      <x:c r="Y27" s="30" t="n">
        <x:v>4905.180699</x:v>
      </x:c>
      <x:c r="Z27" s="33" t="n">
        <x:f>IFERROR(1-X27/Y27,"")</x:f>
        <x:v>0.0888218530030549</x:v>
      </x:c>
      <x:c r="AA27" s="30" t="n">
        <x:v>32229.3797</x:v>
      </x:c>
      <x:c r="AB27" s="30" t="n">
        <x:v>56687.91667</x:v>
      </x:c>
      <x:c r="AC27" s="33" t="n">
        <x:f>IFERROR(1-AA27/AB27,"")</x:f>
        <x:v>0.43145944333042996</x:v>
      </x:c>
      <x:c r="AD27" s="33"/>
      <x:c r="AE27" s="33"/>
      <x:c r="AF27" s="33"/>
      <x:c r="AG27" s="33"/>
      <x:c r="AH27" s="33"/>
      <x:c r="AI27" s="30" t="n">
        <x:v>1.333333333</x:v>
      </x:c>
      <x:c r="AJ27" s="30" t="n">
        <x:v>0</x:v>
      </x:c>
      <x:c r="AK27" s="30" t="n">
        <x:v>1.333333333</x:v>
      </x:c>
      <x:c r="AL27" s="30" t="n">
        <x:v>6</x:v>
      </x:c>
      <x:c r="AM27" s="30" t="n">
        <x:v>2063.1894087627684</x:v>
      </x:c>
      <x:c r="AN27" s="35" t="n">
        <x:f>IFERROR(AI27/AM27,"")</x:f>
        <x:v>0.000646248632014624</x:v>
      </x:c>
      <x:c r="AO27" s="35" t="n">
        <x:f>IFERROR(AJ27/AM27,"")</x:f>
        <x:v>0</x:v>
      </x:c>
      <x:c r="AP27" s="35" t="n">
        <x:f>IFERROR(AK27/AM27,"")</x:f>
        <x:v>0.000646248632014624</x:v>
      </x:c>
      <x:c r="AQ27" s="35" t="n">
        <x:f>IFERROR(AL27/AM27,"")</x:f>
        <x:v>0.0029081188447928376</x:v>
      </x:c>
      <x:c r="AR27" s="30" t="n">
        <x:v>721.6666667</x:v>
      </x:c>
      <x:c r="AS27" s="30" t="n">
        <x:v>0</x:v>
      </x:c>
      <x:c r="AT27" s="30" t="n">
        <x:v>1.666666667</x:v>
      </x:c>
      <x:c r="AU27" s="30" t="n">
        <x:v>1.581323333</x:v>
      </x:c>
      <x:c r="AV27" s="30" t="n">
        <x:v>1.333333333</x:v>
      </x:c>
      <x:c r="AW27" s="44" t="str">
        <x:v>matrix mean; seeds=940201,940202,940203</x:v>
      </x:c>
    </x:row>
    <x:row r="28">
      <x:c r="A28" s="30" t="str">
        <x:v>YCSB high</x:v>
      </x:c>
      <x:c r="B28" s="31" t="n">
        <x:v>0.8</x:v>
      </x:c>
      <x:c r="C28" s="30" t="n">
        <x:v>16</x:v>
      </x:c>
      <x:c r="D28" s="30" t="n">
        <x:v>13</x:v>
      </x:c>
      <x:c r="E28" s="30" t="n">
        <x:v>3</x:v>
      </x:c>
      <x:c r="F28" s="30" t="n">
        <x:v>3</x:v>
      </x:c>
      <x:c r="G28" s="30" t="str">
        <x:v>matrix_mean</x:v>
      </x:c>
      <x:c r="H28" s="32" t="n">
        <x:v>19.06666667</x:v>
      </x:c>
      <x:c r="I28" s="33" t="n">
        <x:v>0.04367131467</x:v>
      </x:c>
      <x:c r="J28" s="32" t="n">
        <x:v>0.6666666667</x:v>
      </x:c>
      <x:c r="K28" s="32" t="str">
        <x:v>Silo</x:v>
      </x:c>
      <x:c r="L28" s="34" t="n">
        <x:f>IFERROR(H28/J28,"")</x:f>
        <x:v>28.600000003570003</x:v>
      </x:c>
      <x:c r="M28" s="32" t="n">
        <x:v>416.4</x:v>
      </x:c>
      <x:c r="N28" s="32" t="n">
        <x:v>3222</x:v>
      </x:c>
      <x:c r="O28" s="32" t="str">
        <x:v>OCC</x:v>
      </x:c>
      <x:c r="P28" s="34" t="n">
        <x:f>IFERROR(M28/N28,"")</x:f>
        <x:v>0.1292364990689013</x:v>
      </x:c>
      <x:c r="Q28" s="32" t="n">
        <x:v>397.3333333</x:v>
      </x:c>
      <x:c r="R28" s="32" t="n">
        <x:v>3221.466667</x:v>
      </x:c>
      <x:c r="S28" s="32" t="str">
        <x:v>OCC</x:v>
      </x:c>
      <x:c r="T28" s="34" t="n">
        <x:f>IFERROR(Q28/R28,"")</x:f>
        <x:v>0.12333926573575811</x:v>
      </x:c>
      <x:c r="U28" s="33" t="n">
        <x:v>0.215537518</x:v>
      </x:c>
      <x:c r="V28" s="33" t="n">
        <x:v>0.5515400686</x:v>
      </x:c>
      <x:c r="W28" s="33" t="n">
        <x:f>IFERROR(U28-V28,"")</x:f>
        <x:v>-0.33600255060000006</x:v>
      </x:c>
      <x:c r="X28" s="30" t="n">
        <x:v>5410.670611</x:v>
      </x:c>
      <x:c r="Y28" s="30" t="n">
        <x:v>6570.110274</x:v>
      </x:c>
      <x:c r="Z28" s="33" t="n">
        <x:f>IFERROR(1-X28/Y28,"")</x:f>
        <x:v>0.17647187256327623</x:v>
      </x:c>
      <x:c r="AA28" s="30" t="n">
        <x:v>34457.49301</x:v>
      </x:c>
      <x:c r="AB28" s="30" t="n">
        <x:v>60491.17628</x:v>
      </x:c>
      <x:c r="AC28" s="33" t="n">
        <x:f>IFERROR(1-AA28/AB28,"")</x:f>
        <x:v>0.4303715826172062</x:v>
      </x:c>
      <x:c r="AD28" s="33" t="n">
        <x:f>IFERROR(H28/H27-1,"")</x:f>
        <x:v>0.8101265831677615</x:v>
      </x:c>
      <x:c r="AE28" s="33" t="str">
        <x:f>IF(AD28&lt;-0.1,"drop &gt;10%",IF(AND(C28&gt;16,AD28&gt;0.5),"jump &gt;50%",""))</x:f>
      </x:c>
      <x:c r="AF28" s="33" t="n">
        <x:f>IFERROR(M28/M27-1,"")</x:f>
        <x:v>-0.4499823881890639</x:v>
      </x:c>
      <x:c r="AG28" s="33" t="n">
        <x:f>IFERROR(Q28/Q27-1,"")</x:f>
        <x:v>-0.4677621003959529</x:v>
      </x:c>
      <x:c r="AH28" s="33" t="n">
        <x:f>IFERROR(X28/X27-1,"")</x:f>
        <x:v>0.21057803516732299</x:v>
      </x:c>
      <x:c r="AI28" s="30" t="n">
        <x:v>4.666666667</x:v>
      </x:c>
      <x:c r="AJ28" s="30" t="n">
        <x:v>0</x:v>
      </x:c>
      <x:c r="AK28" s="30" t="n">
        <x:v>4.666666667</x:v>
      </x:c>
      <x:c r="AL28" s="30" t="n">
        <x:v>16.66666667</x:v>
      </x:c>
      <x:c r="AM28" s="30" t="n">
        <x:v>1352.4674258560499</x:v>
      </x:c>
      <x:c r="AN28" s="35" t="n">
        <x:f>IFERROR(AI28/AM28,"")</x:f>
        <x:v>0.003450483595969947</x:v>
      </x:c>
      <x:c r="AO28" s="35" t="n">
        <x:f>IFERROR(AJ28/AM28,"")</x:f>
        <x:v>0</x:v>
      </x:c>
      <x:c r="AP28" s="35" t="n">
        <x:f>IFERROR(AK28/AM28,"")</x:f>
        <x:v>0.003450483595969947</x:v>
      </x:c>
      <x:c r="AQ28" s="35" t="n">
        <x:f>IFERROR(AL28/AM28,"")</x:f>
        <x:v>0.012323155701477073</x:v>
      </x:c>
      <x:c r="AR28" s="30" t="n">
        <x:v>4901.666667</x:v>
      </x:c>
      <x:c r="AS28" s="30" t="n">
        <x:v>0</x:v>
      </x:c>
      <x:c r="AT28" s="30" t="n">
        <x:v>9.666666667</x:v>
      </x:c>
      <x:c r="AU28" s="30" t="n">
        <x:v>290.4050287</x:v>
      </x:c>
      <x:c r="AV28" s="30" t="n">
        <x:v>4.666666667</x:v>
      </x:c>
      <x:c r="AW28" s="44" t="str">
        <x:v>matrix mean; seeds=940201,940202,940203</x:v>
      </x:c>
    </x:row>
    <x:row r="29">
      <x:c r="A29" s="30" t="str">
        <x:v>YCSB high</x:v>
      </x:c>
      <x:c r="B29" s="31" t="n">
        <x:v>0.8</x:v>
      </x:c>
      <x:c r="C29" s="30" t="n">
        <x:v>24</x:v>
      </x:c>
      <x:c r="D29" s="30" t="n">
        <x:v>19</x:v>
      </x:c>
      <x:c r="E29" s="30" t="n">
        <x:v>5</x:v>
      </x:c>
      <x:c r="F29" s="30" t="n">
        <x:v>3</x:v>
      </x:c>
      <x:c r="G29" s="30" t="str">
        <x:v>matrix_mean</x:v>
      </x:c>
      <x:c r="H29" s="32" t="n">
        <x:v>18</x:v>
      </x:c>
      <x:c r="I29" s="33" t="n">
        <x:v>0.3227964233</x:v>
      </x:c>
      <x:c r="J29" s="32" t="n">
        <x:v>0.8</x:v>
      </x:c>
      <x:c r="K29" s="32" t="str">
        <x:v>OCC</x:v>
      </x:c>
      <x:c r="L29" s="34" t="n">
        <x:f>IFERROR(H29/J29,"")</x:f>
        <x:v>22.5</x:v>
      </x:c>
      <x:c r="M29" s="32" t="n">
        <x:v>524.4</x:v>
      </x:c>
      <x:c r="N29" s="32" t="n">
        <x:v>2265.333333</x:v>
      </x:c>
      <x:c r="O29" s="32" t="str">
        <x:v>OCC</x:v>
      </x:c>
      <x:c r="P29" s="34" t="n">
        <x:f>IFERROR(M29/N29,"")</x:f>
        <x:v>0.23148911127596955</x:v>
      </x:c>
      <x:c r="Q29" s="32" t="n">
        <x:v>506.4</x:v>
      </x:c>
      <x:c r="R29" s="32" t="n">
        <x:v>2264.533333</x:v>
      </x:c>
      <x:c r="S29" s="32" t="str">
        <x:v>OCC</x:v>
      </x:c>
      <x:c r="T29" s="34" t="n">
        <x:f>IFERROR(Q29/R29,"")</x:f>
        <x:v>0.2236222327225068</x:v>
      </x:c>
      <x:c r="U29" s="33" t="n">
        <x:v>0.2831933392</x:v>
      </x:c>
      <x:c r="V29" s="33" t="n">
        <x:v>0.5533934504</x:v>
      </x:c>
      <x:c r="W29" s="33" t="n">
        <x:f>IFERROR(U29-V29,"")</x:f>
        <x:v>-0.2702001112</x:v>
      </x:c>
      <x:c r="X29" s="30" t="n">
        <x:v>6666.874432</x:v>
      </x:c>
      <x:c r="Y29" s="30" t="n">
        <x:v>6817.393675</x:v>
      </x:c>
      <x:c r="Z29" s="33" t="n">
        <x:f>IFERROR(1-X29/Y29,"")</x:f>
        <x:v>0.022078707813510623</x:v>
      </x:c>
      <x:c r="AA29" s="30" t="n">
        <x:v>37818.64678</x:v>
      </x:c>
      <x:c r="AB29" s="30" t="n">
        <x:v>60526.50718</x:v>
      </x:c>
      <x:c r="AC29" s="33" t="n">
        <x:f>IFERROR(1-AA29/AB29,"")</x:f>
        <x:v>0.375172159405614</x:v>
      </x:c>
      <x:c r="AD29" s="33" t="n">
        <x:f>IFERROR(H29/H28-1,"")</x:f>
        <x:v>-0.05594405610910069</x:v>
      </x:c>
      <x:c r="AE29" s="33" t="str">
        <x:f>IF(AD29&lt;-0.1,"drop &gt;10%",IF(AND(C29&gt;16,AD29&gt;0.5),"jump &gt;50%",""))</x:f>
      </x:c>
      <x:c r="AF29" s="33" t="n">
        <x:f>IFERROR(M29/M28-1,"")</x:f>
        <x:v>0.25936599423631135</x:v>
      </x:c>
      <x:c r="AG29" s="33" t="n">
        <x:f>IFERROR(Q29/Q28-1,"")</x:f>
        <x:v>0.27449664440222277</x:v>
      </x:c>
      <x:c r="AH29" s="33" t="n">
        <x:f>IFERROR(X29/X28-1,"")</x:f>
        <x:v>0.23217155715339843</x:v>
      </x:c>
      <x:c r="AI29" s="30" t="n">
        <x:v>6</x:v>
      </x:c>
      <x:c r="AJ29" s="30" t="n">
        <x:v>0</x:v>
      </x:c>
      <x:c r="AK29" s="30" t="n">
        <x:v>6</x:v>
      </x:c>
      <x:c r="AL29" s="30" t="n">
        <x:v>24.66666667</x:v>
      </x:c>
      <x:c r="AM29" s="30" t="n">
        <x:v>1776.6739544123295</x:v>
      </x:c>
      <x:c r="AN29" s="35" t="n">
        <x:f>IFERROR(AI29/AM29,"")</x:f>
        <x:v>0.0033770968416006416</x:v>
      </x:c>
      <x:c r="AO29" s="35" t="n">
        <x:f>IFERROR(AJ29/AM29,"")</x:f>
        <x:v>0</x:v>
      </x:c>
      <x:c r="AP29" s="35" t="n">
        <x:f>IFERROR(AK29/AM29,"")</x:f>
        <x:v>0.0033770968416006416</x:v>
      </x:c>
      <x:c r="AQ29" s="35" t="n">
        <x:f>IFERROR(AL29/AM29,"")</x:f>
        <x:v>0.013883620350678803</x:v>
      </x:c>
      <x:c r="AR29" s="30" t="n">
        <x:v>12300</x:v>
      </x:c>
      <x:c r="AS29" s="30" t="n">
        <x:v>0</x:v>
      </x:c>
      <x:c r="AT29" s="30" t="n">
        <x:v>9.666666667</x:v>
      </x:c>
      <x:c r="AU29" s="30" t="n">
        <x:v>160.4928511</x:v>
      </x:c>
      <x:c r="AV29" s="30" t="n">
        <x:v>6</x:v>
      </x:c>
      <x:c r="AW29" s="44" t="str">
        <x:v>matrix mean; seeds=940201,940202,940203</x:v>
      </x:c>
    </x:row>
    <x:row r="30">
      <x:c r="A30" s="30" t="str">
        <x:v>YCSB high</x:v>
      </x:c>
      <x:c r="B30" s="31" t="n">
        <x:v>0.8</x:v>
      </x:c>
      <x:c r="C30" s="30" t="n">
        <x:v>32</x:v>
      </x:c>
      <x:c r="D30" s="30" t="n">
        <x:v>26</x:v>
      </x:c>
      <x:c r="E30" s="30" t="n">
        <x:v>6</x:v>
      </x:c>
      <x:c r="F30" s="30" t="n">
        <x:v>1</x:v>
      </x:c>
      <x:c r="G30" s="30" t="str">
        <x:v>formal_mean</x:v>
      </x:c>
      <x:c r="H30" s="32" t="n">
        <x:v>35</x:v>
      </x:c>
      <x:c r="I30" s="33" t="n">
        <x:v>0</x:v>
      </x:c>
      <x:c r="J30" s="32" t="n">
        <x:v>2</x:v>
      </x:c>
      <x:c r="K30" s="32" t="str">
        <x:v>2PL-wait-die</x:v>
      </x:c>
      <x:c r="L30" s="34" t="n">
        <x:f>IFERROR(H30/J30,"")</x:f>
        <x:v>17.5</x:v>
      </x:c>
      <x:c r="M30" s="32" t="n">
        <x:v>90</x:v>
      </x:c>
      <x:c r="N30" s="32" t="n">
        <x:v>1934.8</x:v>
      </x:c>
      <x:c r="O30" s="32" t="str">
        <x:v>OCC</x:v>
      </x:c>
      <x:c r="P30" s="34" t="n">
        <x:f>IFERROR(M30/N30,"")</x:f>
        <x:v>0.04651643580731859</x:v>
      </x:c>
      <x:c r="Q30" s="32" t="n">
        <x:v>55</x:v>
      </x:c>
      <x:c r="R30" s="32" t="n">
        <x:v>1933.333333</x:v>
      </x:c>
      <x:c r="S30" s="32" t="str">
        <x:v>OCC</x:v>
      </x:c>
      <x:c r="T30" s="34" t="n">
        <x:f>IFERROR(Q30/R30,"")</x:f>
        <x:v>0.02844827586697384</x:v>
      </x:c>
      <x:c r="U30" s="33" t="n">
        <x:v>0.2702702703</x:v>
      </x:c>
      <x:c r="V30" s="33" t="n">
        <x:v>0.5380993151</x:v>
      </x:c>
      <x:c r="W30" s="33" t="n">
        <x:f>IFERROR(U30-V30,"")</x:f>
        <x:v>-0.26782904479999997</x:v>
      </x:c>
      <x:c r="X30" s="30" t="n">
        <x:v>4969.510444</x:v>
      </x:c>
      <x:c r="Y30" s="30" t="n">
        <x:v>7064.084417</x:v>
      </x:c>
      <x:c r="Z30" s="33" t="n">
        <x:f>IFERROR(1-X30/Y30,"")</x:f>
        <x:v>0.2965103259467462</x:v>
      </x:c>
      <x:c r="AA30" s="30" t="n">
        <x:v>37041.11111</x:v>
      </x:c>
      <x:c r="AB30" s="30" t="n">
        <x:v>58607.90476</x:v>
      </x:c>
      <x:c r="AC30" s="33" t="n">
        <x:f>IFERROR(1-AA30/AB30,"")</x:f>
        <x:v>0.36798438262408883</x:v>
      </x:c>
      <x:c r="AD30" s="33" t="n">
        <x:f>IFERROR(H30/H29-1,"")</x:f>
        <x:v>0.9444444444444444</x:v>
      </x:c>
      <x:c r="AE30" s="33" t="str">
        <x:f>IF(AD30&lt;-0.1,"drop &gt;10%",IF(AND(C30&gt;16,AD30&gt;0.5),"jump &gt;50%",""))</x:f>
        <x:v>jump &gt;50%</x:v>
      </x:c>
      <x:c r="AF30" s="33" t="n">
        <x:f>IFERROR(M30/M29-1,"")</x:f>
        <x:v>-0.8283752860411899</x:v>
      </x:c>
      <x:c r="AG30" s="33" t="n">
        <x:f>IFERROR(Q30/Q29-1,"")</x:f>
        <x:v>-0.891390205371248</x:v>
      </x:c>
      <x:c r="AH30" s="33" t="n">
        <x:f>IFERROR(X30/X29-1,"")</x:f>
        <x:v>-0.25459666374589374</x:v>
      </x:c>
      <x:c r="AI30" s="30" t="n">
        <x:v>9</x:v>
      </x:c>
      <x:c r="AJ30" s="30" t="n">
        <x:v>0</x:v>
      </x:c>
      <x:c r="AK30" s="30" t="n">
        <x:v>9</x:v>
      </x:c>
      <x:c r="AL30" s="30" t="n">
        <x:v>20</x:v>
      </x:c>
      <x:c r="AM30" s="30" t="n">
        <x:v>182.0000000021883</x:v>
      </x:c>
      <x:c r="AN30" s="35" t="n">
        <x:f>IFERROR(AI30/AM30,"")</x:f>
        <x:v>0.049450549449954875</x:v>
      </x:c>
      <x:c r="AO30" s="35" t="n">
        <x:f>IFERROR(AJ30/AM30,"")</x:f>
        <x:v>0</x:v>
      </x:c>
      <x:c r="AP30" s="35" t="n">
        <x:f>IFERROR(AK30/AM30,"")</x:f>
        <x:v>0.049450549449954875</x:v>
      </x:c>
      <x:c r="AQ30" s="35" t="n">
        <x:f>IFERROR(AL30/AM30,"")</x:f>
        <x:v>0.10989010988878861</x:v>
      </x:c>
      <x:c r="AR30" s="30" t="n">
        <x:v>2140</x:v>
      </x:c>
      <x:c r="AS30" s="30" t="n">
        <x:v>0</x:v>
      </x:c>
      <x:c r="AT30" s="30" t="n">
        <x:v>23</x:v>
      </x:c>
      <x:c r="AU30" s="30" t="n">
        <x:v>1642.218551</x:v>
      </x:c>
      <x:c r="AV30" s="30" t="n">
        <x:v>9</x:v>
      </x:c>
      <x:c r="AW30" s="44" t="str">
        <x:v>formal_mean seed=940201; targeted-mvcc-commit-admission</x:v>
      </x:c>
    </x:row>
    <x:row r="31">
      <x:c r="A31" s="30" t="str">
        <x:v>YCSB high</x:v>
      </x:c>
      <x:c r="B31" s="31" t="n">
        <x:v>0.8</x:v>
      </x:c>
      <x:c r="C31" s="30" t="n">
        <x:v>40</x:v>
      </x:c>
      <x:c r="D31" s="30" t="n">
        <x:v>32</x:v>
      </x:c>
      <x:c r="E31" s="30" t="n">
        <x:v>8</x:v>
      </x:c>
      <x:c r="F31" s="30" t="n">
        <x:v>1</x:v>
      </x:c>
      <x:c r="G31" s="30" t="str">
        <x:v>formal_mean</x:v>
      </x:c>
      <x:c r="H31" s="32" t="n">
        <x:v>40</x:v>
      </x:c>
      <x:c r="I31" s="33" t="n">
        <x:v>0</x:v>
      </x:c>
      <x:c r="J31" s="32" t="n">
        <x:v>2</x:v>
      </x:c>
      <x:c r="K31" s="32" t="str">
        <x:v>Polaris</x:v>
      </x:c>
      <x:c r="L31" s="34" t="n">
        <x:f>IFERROR(H31/J31,"")</x:f>
        <x:v>20</x:v>
      </x:c>
      <x:c r="M31" s="32" t="n">
        <x:v>75</x:v>
      </x:c>
      <x:c r="N31" s="32" t="n">
        <x:v>1394</x:v>
      </x:c>
      <x:c r="O31" s="32" t="str">
        <x:v>OCC</x:v>
      </x:c>
      <x:c r="P31" s="34" t="n">
        <x:f>IFERROR(M31/N31,"")</x:f>
        <x:v>0.05380200860832138</x:v>
      </x:c>
      <x:c r="Q31" s="32" t="n">
        <x:v>35</x:v>
      </x:c>
      <x:c r="R31" s="32" t="n">
        <x:v>1392.8</x:v>
      </x:c>
      <x:c r="S31" s="32" t="str">
        <x:v>OCC</x:v>
      </x:c>
      <x:c r="T31" s="34" t="n">
        <x:f>IFERROR(Q31/R31,"")</x:f>
        <x:v>0.025129236071223436</x:v>
      </x:c>
      <x:c r="U31" s="33" t="n">
        <x:v>0.3402061856</x:v>
      </x:c>
      <x:c r="V31" s="33" t="n">
        <x:v>0.5611248983</x:v>
      </x:c>
      <x:c r="W31" s="33" t="n">
        <x:f>IFERROR(U31-V31,"")</x:f>
        <x:v>-0.22091871270000002</x:v>
      </x:c>
      <x:c r="X31" s="30" t="n">
        <x:v>5244.176475</x:v>
      </x:c>
      <x:c r="Y31" s="30" t="n">
        <x:v>8643.653686</x:v>
      </x:c>
      <x:c r="Z31" s="33" t="n">
        <x:f>IFERROR(1-X31/Y31,"")</x:f>
        <x:v>0.3932916952128801</x:v>
      </x:c>
      <x:c r="AA31" s="30" t="n">
        <x:v>40967.34375</x:v>
      </x:c>
      <x:c r="AB31" s="30" t="n">
        <x:v>61703.09829</x:v>
      </x:c>
      <x:c r="AC31" s="33" t="n">
        <x:f>IFERROR(1-AA31/AB31,"")</x:f>
        <x:v>0.3360569422712534</x:v>
      </x:c>
      <x:c r="AD31" s="33" t="n">
        <x:f>IFERROR(H31/H30-1,"")</x:f>
        <x:v>0.1428571428571428</x:v>
      </x:c>
      <x:c r="AE31" s="33" t="str">
        <x:f>IF(AD31&lt;-0.1,"drop &gt;10%",IF(AND(C31&gt;16,AD31&gt;0.5),"jump &gt;50%",""))</x:f>
      </x:c>
      <x:c r="AF31" s="33" t="n">
        <x:f>IFERROR(M31/M30-1,"")</x:f>
        <x:v>-0.16666666666666663</x:v>
      </x:c>
      <x:c r="AG31" s="33" t="n">
        <x:f>IFERROR(Q31/Q30-1,"")</x:f>
        <x:v>-0.36363636363636365</x:v>
      </x:c>
      <x:c r="AH31" s="33" t="n">
        <x:f>IFERROR(X31/X30-1,"")</x:f>
        <x:v>0.05527023921070984</x:v>
      </x:c>
      <x:c r="AI31" s="30" t="n">
        <x:v>14</x:v>
      </x:c>
      <x:c r="AJ31" s="30" t="n">
        <x:v>0</x:v>
      </x:c>
      <x:c r="AK31" s="30" t="n">
        <x:v>14</x:v>
      </x:c>
      <x:c r="AL31" s="30" t="n">
        <x:v>33</x:v>
      </x:c>
      <x:c r="AM31" s="30" t="n">
        <x:v>225.99999999447346</x:v>
      </x:c>
      <x:c r="AN31" s="35" t="n">
        <x:f>IFERROR(AI31/AM31,"")</x:f>
        <x:v>0.06194690265638209</x:v>
      </x:c>
      <x:c r="AO31" s="35" t="n">
        <x:f>IFERROR(AJ31/AM31,"")</x:f>
        <x:v>0</x:v>
      </x:c>
      <x:c r="AP31" s="35" t="n">
        <x:f>IFERROR(AK31/AM31,"")</x:f>
        <x:v>0.06194690265638209</x:v>
      </x:c>
      <x:c r="AQ31" s="35" t="n">
        <x:f>IFERROR(AL31/AM31,"")</x:f>
        <x:v>0.14601769911861492</x:v>
      </x:c>
      <x:c r="AR31" s="30" t="n">
        <x:v>7388</x:v>
      </x:c>
      <x:c r="AS31" s="30" t="n">
        <x:v>0</x:v>
      </x:c>
      <x:c r="AT31" s="30" t="n">
        <x:v>28</x:v>
      </x:c>
      <x:c r="AU31" s="30" t="n">
        <x:v>2218.54887</x:v>
      </x:c>
      <x:c r="AV31" s="30" t="n">
        <x:v>14</x:v>
      </x:c>
      <x:c r="AW31" s="44" t="str">
        <x:v>formal_mean seed=940201; targeted-mvcc-commit-admission+25ms-transition-cap</x:v>
      </x:c>
    </x:row>
    <x:row r="32">
      <x:c r="A32" s="30" t="str">
        <x:v>TPC-C low</x:v>
      </x:c>
      <x:c r="B32" s="31" t="n">
        <x:v>1</x:v>
      </x:c>
      <x:c r="C32" s="30" t="n">
        <x:v>8</x:v>
      </x:c>
      <x:c r="D32" s="30" t="n">
        <x:v>8</x:v>
      </x:c>
      <x:c r="E32" s="30" t="n">
        <x:v>0</x:v>
      </x:c>
      <x:c r="F32" s="30" t="n">
        <x:v>3</x:v>
      </x:c>
      <x:c r="G32" s="30" t="str">
        <x:v>matrix_mean</x:v>
      </x:c>
      <x:c r="H32" s="32" t="n">
        <x:v>25.46666667</x:v>
      </x:c>
      <x:c r="I32" s="33" t="n">
        <x:v>0.145940941</x:v>
      </x:c>
      <x:c r="J32" s="32" t="n">
        <x:v>25.86666667</x:v>
      </x:c>
      <x:c r="K32" s="32" t="str">
        <x:v>OCC</x:v>
      </x:c>
      <x:c r="L32" s="34" t="n">
        <x:f>IFERROR(H32/J32,"")</x:f>
        <x:v>0.9845360824762195</x:v>
      </x:c>
      <x:c r="M32" s="32" t="n">
        <x:v>25.46666667</x:v>
      </x:c>
      <x:c r="N32" s="32" t="n">
        <x:v>25.86666667</x:v>
      </x:c>
      <x:c r="O32" s="32" t="str">
        <x:v>OCC</x:v>
      </x:c>
      <x:c r="P32" s="34" t="n">
        <x:f>IFERROR(M32/N32,"")</x:f>
        <x:v>0.9845360824762195</x:v>
      </x:c>
      <x:c r="Q32" s="32" t="n">
        <x:v>0</x:v>
      </x:c>
      <x:c r="R32" s="32"/>
      <x:c r="S32" s="32" t="str"/>
      <x:c r="T32" s="34" t="str">
        <x:f>IFERROR(Q32/R32,"")</x:f>
      </x:c>
      <x:c r="U32" s="33" t="n">
        <x:v>0.004329004329</x:v>
      </x:c>
      <x:c r="V32" s="33" t="n">
        <x:v>0.004329004329</x:v>
      </x:c>
      <x:c r="W32" s="33" t="n">
        <x:f>IFERROR(U32-V32,"")</x:f>
        <x:v>0</x:v>
      </x:c>
      <x:c r="X32" s="30" t="n">
        <x:v>990.1518392</x:v>
      </x:c>
      <x:c r="Y32" s="30" t="n">
        <x:v>984.6711642</x:v>
      </x:c>
      <x:c r="Z32" s="33" t="n">
        <x:f>IFERROR(1-X32/Y32,"")</x:f>
        <x:v>-0.005565995226896714</x:v>
      </x:c>
      <x:c r="AA32" s="30" t="n">
        <x:v>110395.3946</x:v>
      </x:c>
      <x:c r="AB32" s="30" t="n">
        <x:v>110021.0885</x:v>
      </x:c>
      <x:c r="AC32" s="33" t="n">
        <x:f>IFERROR(1-AA32/AB32,"")</x:f>
        <x:v>-0.003402130492464739</x:v>
      </x:c>
      <x:c r="AD32" s="33"/>
      <x:c r="AE32" s="33"/>
      <x:c r="AF32" s="33"/>
      <x:c r="AG32" s="33"/>
      <x:c r="AH32" s="33"/>
      <x:c r="AI32" s="30" t="n">
        <x:v>0</x:v>
      </x:c>
      <x:c r="AJ32" s="30" t="n">
        <x:v>0.3333333333</x:v>
      </x:c>
      <x:c r="AK32" s="30" t="n">
        <x:v>0.3333333333</x:v>
      </x:c>
      <x:c r="AL32" s="30" t="n">
        <x:v>0.3333333333</x:v>
      </x:c>
      <x:c r="AM32" s="30" t="n">
        <x:v>80.58760889121734</x:v>
      </x:c>
      <x:c r="AN32" s="35" t="n">
        <x:f>IFERROR(AI32/AM32,"")</x:f>
        <x:v>0</x:v>
      </x:c>
      <x:c r="AO32" s="35" t="n">
        <x:f>IFERROR(AJ32/AM32,"")</x:f>
        <x:v>0.004136285191808533</x:v>
      </x:c>
      <x:c r="AP32" s="35" t="n">
        <x:f>IFERROR(AK32/AM32,"")</x:f>
        <x:v>0.004136285191808533</x:v>
      </x:c>
      <x:c r="AQ32" s="35" t="n">
        <x:f>IFERROR(AL32/AM32,"")</x:f>
        <x:v>0.004136285191808533</x:v>
      </x:c>
      <x:c r="AR32" s="30" t="n">
        <x:v>27.33333333</x:v>
      </x:c>
      <x:c r="AS32" s="30" t="n">
        <x:v>0</x:v>
      </x:c>
      <x:c r="AT32" s="30" t="n">
        <x:v>0</x:v>
      </x:c>
      <x:c r="AU32" s="30" t="n">
        <x:v>0</x:v>
      </x:c>
      <x:c r="AV32" s="30" t="n">
        <x:v>0.3333333333</x:v>
      </x:c>
      <x:c r="AW32" s="44" t="str">
        <x:v>matrix mean; seeds=940201,940202,940203</x:v>
      </x:c>
    </x:row>
    <x:row r="33">
      <x:c r="A33" s="30" t="str">
        <x:v>TPC-C low</x:v>
      </x:c>
      <x:c r="B33" s="31" t="n">
        <x:v>1</x:v>
      </x:c>
      <x:c r="C33" s="30" t="n">
        <x:v>16</x:v>
      </x:c>
      <x:c r="D33" s="30" t="n">
        <x:v>16</x:v>
      </x:c>
      <x:c r="E33" s="30" t="n">
        <x:v>0</x:v>
      </x:c>
      <x:c r="F33" s="30" t="n">
        <x:v>3</x:v>
      </x:c>
      <x:c r="G33" s="30" t="str">
        <x:v>matrix_mean</x:v>
      </x:c>
      <x:c r="H33" s="32" t="n">
        <x:v>47.33333333</x:v>
      </x:c>
      <x:c r="I33" s="33" t="n">
        <x:v>0.06830622903</x:v>
      </x:c>
      <x:c r="J33" s="32" t="n">
        <x:v>48.13333333</x:v>
      </x:c>
      <x:c r="K33" s="32" t="str">
        <x:v>2PL-wait-die</x:v>
      </x:c>
      <x:c r="L33" s="34" t="n">
        <x:f>IFERROR(H33/J33,"")</x:f>
        <x:v>0.9833795013838906</x:v>
      </x:c>
      <x:c r="M33" s="32" t="n">
        <x:v>47.33333333</x:v>
      </x:c>
      <x:c r="N33" s="32" t="n">
        <x:v>48.13333333</x:v>
      </x:c>
      <x:c r="O33" s="32" t="str">
        <x:v>2PL-wait-die</x:v>
      </x:c>
      <x:c r="P33" s="34" t="n">
        <x:f>IFERROR(M33/N33,"")</x:f>
        <x:v>0.9833795013838906</x:v>
      </x:c>
      <x:c r="Q33" s="32" t="n">
        <x:v>0</x:v>
      </x:c>
      <x:c r="R33" s="32"/>
      <x:c r="S33" s="32" t="str"/>
      <x:c r="T33" s="34" t="str">
        <x:f>IFERROR(Q33/R33,"")</x:f>
      </x:c>
      <x:c r="U33" s="33" t="n">
        <x:v>0.01225322199</x:v>
      </x:c>
      <x:c r="V33" s="33" t="n">
        <x:v>0.01201074731</x:v>
      </x:c>
      <x:c r="W33" s="33" t="n">
        <x:f>IFERROR(U33-V33,"")</x:f>
        <x:v>0.00024247468000000022</x:v>
      </x:c>
      <x:c r="X33" s="30" t="n">
        <x:v>977.5764875</x:v>
      </x:c>
      <x:c r="Y33" s="30" t="n">
        <x:v>956.201504</x:v>
      </x:c>
      <x:c r="Z33" s="33" t="n">
        <x:f>IFERROR(1-X33/Y33,"")</x:f>
        <x:v>-0.02235405760248632</x:v>
      </x:c>
      <x:c r="AA33" s="30" t="n">
        <x:v>113080.2064</x:v>
      </x:c>
      <x:c r="AB33" s="30" t="n">
        <x:v>113171.1101</x:v>
      </x:c>
      <x:c r="AC33" s="33" t="n">
        <x:f>IFERROR(1-AA33/AB33,"")</x:f>
        <x:v>0.0008032412151801616</x:v>
      </x:c>
      <x:c r="AD33" s="33" t="n">
        <x:f>IFERROR(H33/H32-1,"")</x:f>
        <x:v>0.8586387430813303</x:v>
      </x:c>
      <x:c r="AE33" s="33" t="str">
        <x:f>IF(AD33&lt;-0.1,"drop &gt;10%",IF(AND(C33&gt;16,AD33&gt;0.5),"jump &gt;50%",""))</x:f>
      </x:c>
      <x:c r="AF33" s="33" t="n">
        <x:f>IFERROR(M33/M32-1,"")</x:f>
        <x:v>0.8586387430813303</x:v>
      </x:c>
      <x:c r="AG33" s="33" t="str">
        <x:f>IFERROR(Q33/Q32-1,"")</x:f>
      </x:c>
      <x:c r="AH33" s="33" t="n">
        <x:f>IFERROR(X33/X32-1,"")</x:f>
        <x:v>-0.012700427552768456</x:v>
      </x:c>
      <x:c r="AI33" s="30" t="n">
        <x:v>0</x:v>
      </x:c>
      <x:c r="AJ33" s="30" t="n">
        <x:v>1.666666667</x:v>
      </x:c>
      <x:c r="AK33" s="30" t="n">
        <x:v>1.666666667</x:v>
      </x:c>
      <x:c r="AL33" s="30" t="n">
        <x:v>1.666666667</x:v>
      </x:c>
      <x:c r="AM33" s="30" t="n">
        <x:v>137.26200062005879</x:v>
      </x:c>
      <x:c r="AN33" s="35" t="n">
        <x:f>IFERROR(AI33/AM33,"")</x:f>
        <x:v>0</x:v>
      </x:c>
      <x:c r="AO33" s="35" t="n">
        <x:f>IFERROR(AJ33/AM33,"")</x:f>
        <x:v>0.01214222916372415</x:v>
      </x:c>
      <x:c r="AP33" s="35" t="n">
        <x:f>IFERROR(AK33/AM33,"")</x:f>
        <x:v>0.01214222916372415</x:v>
      </x:c>
      <x:c r="AQ33" s="35" t="n">
        <x:f>IFERROR(AL33/AM33,"")</x:f>
        <x:v>0.01214222916372415</x:v>
      </x:c>
      <x:c r="AR33" s="30" t="n">
        <x:v>327</x:v>
      </x:c>
      <x:c r="AS33" s="30" t="n">
        <x:v>0</x:v>
      </x:c>
      <x:c r="AT33" s="30" t="n">
        <x:v>0</x:v>
      </x:c>
      <x:c r="AU33" s="30" t="n">
        <x:v>0</x:v>
      </x:c>
      <x:c r="AV33" s="30" t="n">
        <x:v>1.666666667</x:v>
      </x:c>
      <x:c r="AW33" s="44" t="str">
        <x:v>matrix mean; seeds=940201,940202,940203</x:v>
      </x:c>
    </x:row>
    <x:row r="34">
      <x:c r="A34" s="30" t="str">
        <x:v>TPC-C low</x:v>
      </x:c>
      <x:c r="B34" s="31" t="n">
        <x:v>1</x:v>
      </x:c>
      <x:c r="C34" s="30" t="n">
        <x:v>24</x:v>
      </x:c>
      <x:c r="D34" s="30" t="n">
        <x:v>24</x:v>
      </x:c>
      <x:c r="E34" s="30" t="n">
        <x:v>0</x:v>
      </x:c>
      <x:c r="F34" s="30" t="n">
        <x:v>3</x:v>
      </x:c>
      <x:c r="G34" s="30" t="str">
        <x:v>matrix_mean</x:v>
      </x:c>
      <x:c r="H34" s="32" t="n">
        <x:v>62.66666667</x:v>
      </x:c>
      <x:c r="I34" s="33" t="n">
        <x:v>0.07480168439</x:v>
      </x:c>
      <x:c r="J34" s="32" t="n">
        <x:v>65.2</x:v>
      </x:c>
      <x:c r="K34" s="32" t="str">
        <x:v>Silo</x:v>
      </x:c>
      <x:c r="L34" s="34" t="n">
        <x:f>IFERROR(H34/J34,"")</x:f>
        <x:v>0.9611451943251533</x:v>
      </x:c>
      <x:c r="M34" s="32" t="n">
        <x:v>62.66666667</x:v>
      </x:c>
      <x:c r="N34" s="32" t="n">
        <x:v>65.2</x:v>
      </x:c>
      <x:c r="O34" s="32" t="str">
        <x:v>Silo</x:v>
      </x:c>
      <x:c r="P34" s="34" t="n">
        <x:f>IFERROR(M34/N34,"")</x:f>
        <x:v>0.9611451943251533</x:v>
      </x:c>
      <x:c r="Q34" s="32" t="n">
        <x:v>0</x:v>
      </x:c>
      <x:c r="R34" s="32"/>
      <x:c r="S34" s="32" t="str"/>
      <x:c r="T34" s="34" t="str">
        <x:f>IFERROR(Q34/R34,"")</x:f>
      </x:c>
      <x:c r="U34" s="33" t="n">
        <x:v>0.03070855421</x:v>
      </x:c>
      <x:c r="V34" s="33" t="n">
        <x:v>0.02782249036</x:v>
      </x:c>
      <x:c r="W34" s="33" t="n">
        <x:f>IFERROR(U34-V34,"")</x:f>
        <x:v>0.0028860638499999987</x:v>
      </x:c>
      <x:c r="X34" s="30" t="n">
        <x:v>2585.90597</x:v>
      </x:c>
      <x:c r="Y34" s="30" t="n">
        <x:v>2495.790513</x:v>
      </x:c>
      <x:c r="Z34" s="33" t="n">
        <x:f>IFERROR(1-X34/Y34,"")</x:f>
        <x:v>-0.03610697954440045</x:v>
      </x:c>
      <x:c r="AA34" s="30" t="n">
        <x:v>115022.7589</x:v>
      </x:c>
      <x:c r="AB34" s="30" t="n">
        <x:v>114879.0271</x:v>
      </x:c>
      <x:c r="AC34" s="33" t="n">
        <x:f>IFERROR(1-AA34/AB34,"")</x:f>
        <x:v>-0.0012511578799747625</x:v>
      </x:c>
      <x:c r="AD34" s="33" t="n">
        <x:f>IFERROR(H34/H33-1,"")</x:f>
        <x:v>0.323943662135489</x:v>
      </x:c>
      <x:c r="AE34" s="33" t="str">
        <x:f>IF(AD34&lt;-0.1,"drop &gt;10%",IF(AND(C34&gt;16,AD34&gt;0.5),"jump &gt;50%",""))</x:f>
      </x:c>
      <x:c r="AF34" s="33" t="n">
        <x:f>IFERROR(M34/M33-1,"")</x:f>
        <x:v>0.323943662135489</x:v>
      </x:c>
      <x:c r="AG34" s="33" t="str">
        <x:f>IFERROR(Q34/Q33-1,"")</x:f>
      </x:c>
      <x:c r="AH34" s="33" t="n">
        <x:f>IFERROR(X34/X33-1,"")</x:f>
        <x:v>1.6452211188231955</x:v>
      </x:c>
      <x:c r="AI34" s="30" t="n">
        <x:v>0</x:v>
      </x:c>
      <x:c r="AJ34" s="30" t="n">
        <x:v>7</x:v>
      </x:c>
      <x:c r="AK34" s="30" t="n">
        <x:v>7</x:v>
      </x:c>
      <x:c r="AL34" s="30" t="n">
        <x:v>5.666666667</x:v>
      </x:c>
      <x:c r="AM34" s="30" t="n">
        <x:v>189.05989721205856</x:v>
      </x:c>
      <x:c r="AN34" s="35" t="n">
        <x:f>IFERROR(AI34/AM34,"")</x:f>
        <x:v>0</x:v>
      </x:c>
      <x:c r="AO34" s="35" t="n">
        <x:f>IFERROR(AJ34/AM34,"")</x:f>
        <x:v>0.037025303108826235</x:v>
      </x:c>
      <x:c r="AP34" s="35" t="n">
        <x:f>IFERROR(AK34/AM34,"")</x:f>
        <x:v>0.037025303108826235</x:v>
      </x:c>
      <x:c r="AQ34" s="35" t="n">
        <x:f>IFERROR(AL34/AM34,"")</x:f>
        <x:v>0.02997286442319387</x:v>
      </x:c>
      <x:c r="AR34" s="30" t="n">
        <x:v>1103.666667</x:v>
      </x:c>
      <x:c r="AS34" s="30" t="n">
        <x:v>0</x:v>
      </x:c>
      <x:c r="AT34" s="30" t="n">
        <x:v>0</x:v>
      </x:c>
      <x:c r="AU34" s="30" t="n">
        <x:v>0</x:v>
      </x:c>
      <x:c r="AV34" s="30" t="n">
        <x:v>5.666666667</x:v>
      </x:c>
      <x:c r="AW34" s="44" t="str">
        <x:v>matrix mean; seeds=940201,940202,940203</x:v>
      </x:c>
    </x:row>
    <x:row r="35">
      <x:c r="A35" s="30" t="str">
        <x:v>TPC-C low</x:v>
      </x:c>
      <x:c r="B35" s="31" t="n">
        <x:v>1</x:v>
      </x:c>
      <x:c r="C35" s="30" t="n">
        <x:v>32</x:v>
      </x:c>
      <x:c r="D35" s="30" t="n">
        <x:v>32</x:v>
      </x:c>
      <x:c r="E35" s="30" t="n">
        <x:v>0</x:v>
      </x:c>
      <x:c r="F35" s="30" t="n">
        <x:v>3</x:v>
      </x:c>
      <x:c r="G35" s="30" t="str">
        <x:v>matrix_mean</x:v>
      </x:c>
      <x:c r="H35" s="32" t="n">
        <x:v>84.93333333</x:v>
      </x:c>
      <x:c r="I35" s="33" t="n">
        <x:v>0.05963397147</x:v>
      </x:c>
      <x:c r="J35" s="32" t="n">
        <x:v>86</x:v>
      </x:c>
      <x:c r="K35" s="32" t="str">
        <x:v>OCC</x:v>
      </x:c>
      <x:c r="L35" s="34" t="n">
        <x:f>IFERROR(H35/J35,"")</x:f>
        <x:v>0.9875968991860464</x:v>
      </x:c>
      <x:c r="M35" s="32" t="n">
        <x:v>84.93333333</x:v>
      </x:c>
      <x:c r="N35" s="32" t="n">
        <x:v>86</x:v>
      </x:c>
      <x:c r="O35" s="32" t="str">
        <x:v>OCC</x:v>
      </x:c>
      <x:c r="P35" s="34" t="n">
        <x:f>IFERROR(M35/N35,"")</x:f>
        <x:v>0.9875968991860464</x:v>
      </x:c>
      <x:c r="Q35" s="32" t="n">
        <x:v>0</x:v>
      </x:c>
      <x:c r="R35" s="32"/>
      <x:c r="S35" s="32" t="str"/>
      <x:c r="T35" s="34" t="str">
        <x:f>IFERROR(Q35/R35,"")</x:f>
      </x:c>
      <x:c r="U35" s="33" t="n">
        <x:v>0.0341122244</x:v>
      </x:c>
      <x:c r="V35" s="33" t="n">
        <x:v>0.03495870673</x:v>
      </x:c>
      <x:c r="W35" s="33" t="n">
        <x:f>IFERROR(U35-V35,"")</x:f>
        <x:v>-0.0008464823299999952</x:v>
      </x:c>
      <x:c r="X35" s="30" t="n">
        <x:v>3724.215683</x:v>
      </x:c>
      <x:c r="Y35" s="30" t="n">
        <x:v>3786.97555</x:v>
      </x:c>
      <x:c r="Z35" s="33" t="n">
        <x:f>IFERROR(1-X35/Y35,"")</x:f>
        <x:v>0.016572556693691953</x:v>
      </x:c>
      <x:c r="AA35" s="30" t="n">
        <x:v>114607.5912</x:v>
      </x:c>
      <x:c r="AB35" s="30" t="n">
        <x:v>114298.2586</x:v>
      </x:c>
      <x:c r="AC35" s="33" t="n">
        <x:f>IFERROR(1-AA35/AB35,"")</x:f>
        <x:v>-0.0027063631921335762</x:v>
      </x:c>
      <x:c r="AD35" s="33" t="n">
        <x:f>IFERROR(H35/H34-1,"")</x:f>
        <x:v>0.35531914881088733</x:v>
      </x:c>
      <x:c r="AE35" s="33" t="str">
        <x:f>IF(AD35&lt;-0.1,"drop &gt;10%",IF(AND(C35&gt;16,AD35&gt;0.5),"jump &gt;50%",""))</x:f>
      </x:c>
      <x:c r="AF35" s="33" t="n">
        <x:f>IFERROR(M35/M34-1,"")</x:f>
        <x:v>0.35531914881088733</x:v>
      </x:c>
      <x:c r="AG35" s="33" t="str">
        <x:f>IFERROR(Q35/Q34-1,"")</x:f>
      </x:c>
      <x:c r="AH35" s="33" t="n">
        <x:f>IFERROR(X35/X34-1,"")</x:f>
        <x:v>0.44019764299472963</x:v>
      </x:c>
      <x:c r="AI35" s="30" t="n">
        <x:v>0</x:v>
      </x:c>
      <x:c r="AJ35" s="30" t="n">
        <x:v>11.33333333</x:v>
      </x:c>
      <x:c r="AK35" s="30" t="n">
        <x:v>11.33333333</x:v>
      </x:c>
      <x:c r="AL35" s="30" t="n">
        <x:v>8.666666667</x:v>
      </x:c>
      <x:c r="AM35" s="30" t="n">
        <x:v>255.90536472006735</x:v>
      </x:c>
      <x:c r="AN35" s="35" t="n">
        <x:f>IFERROR(AI35/AM35,"")</x:f>
        <x:v>0</x:v>
      </x:c>
      <x:c r="AO35" s="35" t="n">
        <x:f>IFERROR(AJ35/AM35,"")</x:f>
        <x:v>0.044287204929828</x:v>
      </x:c>
      <x:c r="AP35" s="35" t="n">
        <x:f>IFERROR(AK35/AM35,"")</x:f>
        <x:v>0.044287204929828</x:v>
      </x:c>
      <x:c r="AQ35" s="35" t="n">
        <x:f>IFERROR(AL35/AM35,"")</x:f>
        <x:v>0.033866686134073</x:v>
      </x:c>
      <x:c r="AR35" s="30" t="n">
        <x:v>2161.666667</x:v>
      </x:c>
      <x:c r="AS35" s="30" t="n">
        <x:v>0</x:v>
      </x:c>
      <x:c r="AT35" s="30" t="n">
        <x:v>0</x:v>
      </x:c>
      <x:c r="AU35" s="30" t="n">
        <x:v>0</x:v>
      </x:c>
      <x:c r="AV35" s="30" t="n">
        <x:v>8.666666667</x:v>
      </x:c>
      <x:c r="AW35" s="44" t="str">
        <x:v>matrix mean; seeds=940201,940202,940203</x:v>
      </x:c>
    </x:row>
    <x:row r="36">
      <x:c r="A36" s="30" t="str">
        <x:v>TPC-C low</x:v>
      </x:c>
      <x:c r="B36" s="31" t="n">
        <x:v>1</x:v>
      </x:c>
      <x:c r="C36" s="30" t="n">
        <x:v>40</x:v>
      </x:c>
      <x:c r="D36" s="30" t="n">
        <x:v>40</x:v>
      </x:c>
      <x:c r="E36" s="30" t="n">
        <x:v>0</x:v>
      </x:c>
      <x:c r="F36" s="30" t="n">
        <x:v>3</x:v>
      </x:c>
      <x:c r="G36" s="30" t="str">
        <x:v>matrix_mean</x:v>
      </x:c>
      <x:c r="H36" s="32" t="n">
        <x:v>92.26666667</x:v>
      </x:c>
      <x:c r="I36" s="33" t="n">
        <x:v>0.08476884032</x:v>
      </x:c>
      <x:c r="J36" s="32" t="n">
        <x:v>97.33333333</x:v>
      </x:c>
      <x:c r="K36" s="32" t="str">
        <x:v>OCC</x:v>
      </x:c>
      <x:c r="L36" s="34" t="n">
        <x:f>IFERROR(H36/J36,"")</x:f>
        <x:v>0.9479452055461626</x:v>
      </x:c>
      <x:c r="M36" s="32" t="n">
        <x:v>92.26666667</x:v>
      </x:c>
      <x:c r="N36" s="32" t="n">
        <x:v>97.33333333</x:v>
      </x:c>
      <x:c r="O36" s="32" t="str">
        <x:v>OCC</x:v>
      </x:c>
      <x:c r="P36" s="34" t="n">
        <x:f>IFERROR(M36/N36,"")</x:f>
        <x:v>0.9479452055461626</x:v>
      </x:c>
      <x:c r="Q36" s="32" t="n">
        <x:v>0</x:v>
      </x:c>
      <x:c r="R36" s="32"/>
      <x:c r="S36" s="32" t="str"/>
      <x:c r="T36" s="34" t="str">
        <x:f>IFERROR(Q36/R36,"")</x:f>
      </x:c>
      <x:c r="U36" s="33" t="n">
        <x:v>0.0468478786</x:v>
      </x:c>
      <x:c r="V36" s="33" t="n">
        <x:v>0.04279075493</x:v>
      </x:c>
      <x:c r="W36" s="33" t="n">
        <x:f>IFERROR(U36-V36,"")</x:f>
        <x:v>0.004057123669999996</x:v>
      </x:c>
      <x:c r="X36" s="30" t="n">
        <x:v>4624.58193</x:v>
      </x:c>
      <x:c r="Y36" s="30" t="n">
        <x:v>4817.369377</x:v>
      </x:c>
      <x:c r="Z36" s="33" t="n">
        <x:f>IFERROR(1-X36/Y36,"")</x:f>
        <x:v>0.04001923703846377</x:v>
      </x:c>
      <x:c r="AA36" s="30" t="n">
        <x:v>112811.9178</x:v>
      </x:c>
      <x:c r="AB36" s="30" t="n">
        <x:v>113303.6034</x:v>
      </x:c>
      <x:c r="AC36" s="33" t="n">
        <x:f>IFERROR(1-AA36/AB36,"")</x:f>
        <x:v>0.004339540714024759</x:v>
      </x:c>
      <x:c r="AD36" s="33" t="n">
        <x:f>IFERROR(H36/H35-1,"")</x:f>
        <x:v>0.08634222928125368</x:v>
      </x:c>
      <x:c r="AE36" s="33" t="str">
        <x:f>IF(AD36&lt;-0.1,"drop &gt;10%",IF(AND(C36&gt;16,AD36&gt;0.5),"jump &gt;50%",""))</x:f>
      </x:c>
      <x:c r="AF36" s="33" t="n">
        <x:f>IFERROR(M36/M35-1,"")</x:f>
        <x:v>0.08634222928125368</x:v>
      </x:c>
      <x:c r="AG36" s="33" t="str">
        <x:f>IFERROR(Q36/Q35-1,"")</x:f>
      </x:c>
      <x:c r="AH36" s="33" t="n">
        <x:f>IFERROR(X36/X35-1,"")</x:f>
        <x:v>0.24175996334205885</x:v>
      </x:c>
      <x:c r="AI36" s="30" t="n">
        <x:v>0</x:v>
      </x:c>
      <x:c r="AJ36" s="30" t="n">
        <x:v>18.33333333</x:v>
      </x:c>
      <x:c r="AK36" s="30" t="n">
        <x:v>18.33333333</x:v>
      </x:c>
      <x:c r="AL36" s="30" t="n">
        <x:v>13.33333333</x:v>
      </x:c>
      <x:c r="AM36" s="30" t="n">
        <x:v>286.33273147550034</x:v>
      </x:c>
      <x:c r="AN36" s="35" t="n">
        <x:f>IFERROR(AI36/AM36,"")</x:f>
        <x:v>0</x:v>
      </x:c>
      <x:c r="AO36" s="35" t="n">
        <x:f>IFERROR(AJ36/AM36,"")</x:f>
        <x:v>0.06402807403654676</x:v>
      </x:c>
      <x:c r="AP36" s="35" t="n">
        <x:f>IFERROR(AK36/AM36,"")</x:f>
        <x:v>0.06402807403654676</x:v>
      </x:c>
      <x:c r="AQ36" s="35" t="n">
        <x:f>IFERROR(AL36/AM36,"")</x:f>
        <x:v>0.04656587202340452</x:v>
      </x:c>
      <x:c r="AR36" s="30" t="n">
        <x:v>3937</x:v>
      </x:c>
      <x:c r="AS36" s="30" t="n">
        <x:v>0</x:v>
      </x:c>
      <x:c r="AT36" s="30" t="n">
        <x:v>0</x:v>
      </x:c>
      <x:c r="AU36" s="30" t="n">
        <x:v>0</x:v>
      </x:c>
      <x:c r="AV36" s="30" t="n">
        <x:v>13.33333333</x:v>
      </x:c>
      <x:c r="AW36" s="44" t="str">
        <x:v>matrix mean; seeds=940201,940202,940203</x:v>
      </x:c>
    </x:row>
    <x:row r="37">
      <x:c r="A37" s="30" t="str">
        <x:v>TPC-C low</x:v>
      </x:c>
      <x:c r="B37" s="31" t="n">
        <x:v>0.8</x:v>
      </x:c>
      <x:c r="C37" s="30" t="n">
        <x:v>8</x:v>
      </x:c>
      <x:c r="D37" s="30" t="n">
        <x:v>6</x:v>
      </x:c>
      <x:c r="E37" s="30" t="n">
        <x:v>2</x:v>
      </x:c>
      <x:c r="F37" s="30" t="n">
        <x:v>3</x:v>
      </x:c>
      <x:c r="G37" s="30" t="str">
        <x:v>matrix_mean</x:v>
      </x:c>
      <x:c r="H37" s="32" t="n">
        <x:v>5.466666667</x:v>
      </x:c>
      <x:c r="I37" s="33" t="n">
        <x:v>0.0844902833</x:v>
      </x:c>
      <x:c r="J37" s="32" t="n">
        <x:v>5.733333333</x:v>
      </x:c>
      <x:c r="K37" s="32" t="str">
        <x:v>OCC</x:v>
      </x:c>
      <x:c r="L37" s="34" t="n">
        <x:f>IFERROR(H37/J37,"")</x:f>
        <x:v>0.9534883722065982</x:v>
      </x:c>
      <x:c r="M37" s="32" t="n">
        <x:v>1365.466667</x:v>
      </x:c>
      <x:c r="N37" s="32" t="n">
        <x:v>1129.733333</x:v>
      </x:c>
      <x:c r="O37" s="32" t="str">
        <x:v>OCC</x:v>
      </x:c>
      <x:c r="P37" s="34" t="n">
        <x:f>IFERROR(M37/N37,"")</x:f>
        <x:v>1.2086628119345755</x:v>
      </x:c>
      <x:c r="Q37" s="32" t="n">
        <x:v>1360</x:v>
      </x:c>
      <x:c r="R37" s="32" t="n">
        <x:v>1124</x:v>
      </x:c>
      <x:c r="S37" s="32" t="str">
        <x:v>OCC</x:v>
      </x:c>
      <x:c r="T37" s="34" t="n">
        <x:f>IFERROR(Q37/R37,"")</x:f>
        <x:v>1.209964412811388</x:v>
      </x:c>
      <x:c r="U37" s="33" t="n">
        <x:v>0.2235185185</x:v>
      </x:c>
      <x:c r="V37" s="33" t="n">
        <x:v>0.208968254</x:v>
      </x:c>
      <x:c r="W37" s="33" t="n">
        <x:f>IFERROR(U37-V37,"")</x:f>
        <x:v>0.01455026450000002</x:v>
      </x:c>
      <x:c r="X37" s="30" t="n">
        <x:v>5678.406022</x:v>
      </x:c>
      <x:c r="Y37" s="30" t="n">
        <x:v>5910.744975</x:v>
      </x:c>
      <x:c r="Z37" s="33" t="n">
        <x:f>IFERROR(1-X37/Y37,"")</x:f>
        <x:v>0.03930789671736756</x:v>
      </x:c>
      <x:c r="AA37" s="30" t="n">
        <x:v>150896.4381</x:v>
      </x:c>
      <x:c r="AB37" s="30" t="n">
        <x:v>150139.4876</x:v>
      </x:c>
      <x:c r="AC37" s="33" t="n">
        <x:f>IFERROR(1-AA37/AB37,"")</x:f>
        <x:v>-0.005041648350476935</x:v>
      </x:c>
      <x:c r="AD37" s="33"/>
      <x:c r="AE37" s="33"/>
      <x:c r="AF37" s="33"/>
      <x:c r="AG37" s="33"/>
      <x:c r="AH37" s="33"/>
      <x:c r="AI37" s="30" t="n">
        <x:v>0.3333333333</x:v>
      </x:c>
      <x:c r="AJ37" s="30" t="n">
        <x:v>5.666666667</x:v>
      </x:c>
      <x:c r="AK37" s="30" t="n">
        <x:v>6</x:v>
      </x:c>
      <x:c r="AL37" s="30" t="n">
        <x:v>5.666666667</x:v>
      </x:c>
      <x:c r="AM37" s="30" t="n">
        <x:v>3431.935176642628</x:v>
      </x:c>
      <x:c r="AN37" s="35" t="n">
        <x:f>IFERROR(AI37/AM37,"")</x:f>
        <x:v>0.00009712693164155018</x:v>
      </x:c>
      <x:c r="AO37" s="35" t="n">
        <x:f>IFERROR(AJ37/AM37,"")</x:f>
        <x:v>0.001651157838168596</x:v>
      </x:c>
      <x:c r="AP37" s="35" t="n">
        <x:f>IFERROR(AK37/AM37,"")</x:f>
        <x:v>0.0017482847697227319</x:v>
      </x:c>
      <x:c r="AQ37" s="35" t="n">
        <x:f>IFERROR(AL37/AM37,"")</x:f>
        <x:v>0.001651157838168596</x:v>
      </x:c>
      <x:c r="AR37" s="30" t="n">
        <x:v>2108.666667</x:v>
      </x:c>
      <x:c r="AS37" s="30" t="n">
        <x:v>0</x:v>
      </x:c>
      <x:c r="AT37" s="30" t="n">
        <x:v>0.3333333333</x:v>
      </x:c>
      <x:c r="AU37" s="30" t="n">
        <x:v>0.09710667655</x:v>
      </x:c>
      <x:c r="AV37" s="30" t="n">
        <x:v>5.666666667</x:v>
      </x:c>
      <x:c r="AW37" s="44" t="str">
        <x:v>matrix mean; seeds=940201,940202,940203</x:v>
      </x:c>
    </x:row>
    <x:row r="38">
      <x:c r="A38" s="30" t="str">
        <x:v>TPC-C low</x:v>
      </x:c>
      <x:c r="B38" s="31" t="n">
        <x:v>0.8</x:v>
      </x:c>
      <x:c r="C38" s="30" t="n">
        <x:v>16</x:v>
      </x:c>
      <x:c r="D38" s="30" t="n">
        <x:v>13</x:v>
      </x:c>
      <x:c r="E38" s="30" t="n">
        <x:v>3</x:v>
      </x:c>
      <x:c r="F38" s="30" t="n">
        <x:v>3</x:v>
      </x:c>
      <x:c r="G38" s="30" t="str">
        <x:v>matrix_mean</x:v>
      </x:c>
      <x:c r="H38" s="32" t="n">
        <x:v>17.86666667</x:v>
      </x:c>
      <x:c r="I38" s="33" t="n">
        <x:v>0.1930226441</x:v>
      </x:c>
      <x:c r="J38" s="32" t="n">
        <x:v>17.86666667</x:v>
      </x:c>
      <x:c r="K38" s="32" t="str">
        <x:v>2PL-wait-die</x:v>
      </x:c>
      <x:c r="L38" s="34" t="n">
        <x:f>IFERROR(H38/J38,"")</x:f>
        <x:v>1</x:v>
      </x:c>
      <x:c r="M38" s="32" t="n">
        <x:v>643.2</x:v>
      </x:c>
      <x:c r="N38" s="32" t="n">
        <x:v>646</x:v>
      </x:c>
      <x:c r="O38" s="32" t="str">
        <x:v>OCC</x:v>
      </x:c>
      <x:c r="P38" s="34" t="n">
        <x:f>IFERROR(M38/N38,"")</x:f>
        <x:v>0.9956656346749226</x:v>
      </x:c>
      <x:c r="Q38" s="32" t="n">
        <x:v>625.3333333</x:v>
      </x:c>
      <x:c r="R38" s="32" t="n">
        <x:v>629.4666667</x:v>
      </x:c>
      <x:c r="S38" s="32" t="str">
        <x:v>OCC</x:v>
      </x:c>
      <x:c r="T38" s="34" t="n">
        <x:f>IFERROR(Q38/R38,"")</x:f>
        <x:v>0.9934335944718581</x:v>
      </x:c>
      <x:c r="U38" s="33" t="n">
        <x:v>0.1504643506</x:v>
      </x:c>
      <x:c r="V38" s="33" t="n">
        <x:v>0.1397913999</x:v>
      </x:c>
      <x:c r="W38" s="33" t="n">
        <x:f>IFERROR(U38-V38,"")</x:f>
        <x:v>0.010672950699999989</x:v>
      </x:c>
      <x:c r="X38" s="30" t="n">
        <x:v>5616.244675</x:v>
      </x:c>
      <x:c r="Y38" s="30" t="n">
        <x:v>5398.371656</x:v>
      </x:c>
      <x:c r="Z38" s="33" t="n">
        <x:f>IFERROR(1-X38/Y38,"")</x:f>
        <x:v>-0.04035902544017045</x:v>
      </x:c>
      <x:c r="AA38" s="30" t="n">
        <x:v>131823.0877</x:v>
      </x:c>
      <x:c r="AB38" s="30" t="n">
        <x:v>135993.4578</x:v>
      </x:c>
      <x:c r="AC38" s="33" t="n">
        <x:f>IFERROR(1-AA38/AB38,"")</x:f>
        <x:v>0.030665961197436364</x:v>
      </x:c>
      <x:c r="AD38" s="33" t="n">
        <x:f>IFERROR(H38/H37-1,"")</x:f>
        <x:v>2.2682926833372994</x:v>
      </x:c>
      <x:c r="AE38" s="33" t="str">
        <x:f>IF(AD38&lt;-0.1,"drop &gt;10%",IF(AND(C38&gt;16,AD38&gt;0.5),"jump &gt;50%",""))</x:f>
      </x:c>
      <x:c r="AF38" s="33" t="n">
        <x:f>IFERROR(M38/M37-1,"")</x:f>
        <x:v>-0.5289522508717526</x:v>
      </x:c>
      <x:c r="AG38" s="33" t="n">
        <x:f>IFERROR(Q38/Q37-1,"")</x:f>
        <x:v>-0.5401960784558824</x:v>
      </x:c>
      <x:c r="AH38" s="33" t="n">
        <x:f>IFERROR(X38/X37-1,"")</x:f>
        <x:v>-0.010946971167466124</x:v>
      </x:c>
      <x:c r="AI38" s="30" t="n">
        <x:v>0</x:v>
      </x:c>
      <x:c r="AJ38" s="30" t="n">
        <x:v>11.33333333</x:v>
      </x:c>
      <x:c r="AK38" s="30" t="n">
        <x:v>11.33333333</x:v>
      </x:c>
      <x:c r="AL38" s="30" t="n">
        <x:v>10</x:v>
      </x:c>
      <x:c r="AM38" s="30" t="n">
        <x:v>1690.790246841837</x:v>
      </x:c>
      <x:c r="AN38" s="35" t="n">
        <x:f>IFERROR(AI38/AM38,"")</x:f>
        <x:v>0</x:v>
      </x:c>
      <x:c r="AO38" s="35" t="n">
        <x:f>IFERROR(AJ38/AM38,"")</x:f>
        <x:v>0.0067029800716967135</x:v>
      </x:c>
      <x:c r="AP38" s="35" t="n">
        <x:f>IFERROR(AK38/AM38,"")</x:f>
        <x:v>0.0067029800716967135</x:v>
      </x:c>
      <x:c r="AQ38" s="35" t="n">
        <x:f>IFERROR(AL38/AM38,"")</x:f>
        <x:v>0.005914394182648393</x:v>
      </x:c>
      <x:c r="AR38" s="30" t="n">
        <x:v>2469.333333</x:v>
      </x:c>
      <x:c r="AS38" s="30" t="n">
        <x:v>0</x:v>
      </x:c>
      <x:c r="AT38" s="30" t="n">
        <x:v>0.3333333333</x:v>
      </x:c>
      <x:c r="AU38" s="30" t="n">
        <x:v>0.1604184508</x:v>
      </x:c>
      <x:c r="AV38" s="30" t="n">
        <x:v>10</x:v>
      </x:c>
      <x:c r="AW38" s="44" t="str">
        <x:v>matrix mean; seeds=940201,940202,940203</x:v>
      </x:c>
    </x:row>
    <x:row r="39">
      <x:c r="A39" s="30" t="str">
        <x:v>TPC-C low</x:v>
      </x:c>
      <x:c r="B39" s="31" t="n">
        <x:v>0.8</x:v>
      </x:c>
      <x:c r="C39" s="30" t="n">
        <x:v>24</x:v>
      </x:c>
      <x:c r="D39" s="30" t="n">
        <x:v>19</x:v>
      </x:c>
      <x:c r="E39" s="30" t="n">
        <x:v>5</x:v>
      </x:c>
      <x:c r="F39" s="30" t="n">
        <x:v>3</x:v>
      </x:c>
      <x:c r="G39" s="30" t="str">
        <x:v>matrix_mean</x:v>
      </x:c>
      <x:c r="H39" s="32" t="n">
        <x:v>31.46666667</x:v>
      </x:c>
      <x:c r="I39" s="33" t="n">
        <x:v>0.1861033157</x:v>
      </x:c>
      <x:c r="J39" s="32" t="n">
        <x:v>26.53333333</x:v>
      </x:c>
      <x:c r="K39" s="32" t="str">
        <x:v>OCC</x:v>
      </x:c>
      <x:c r="L39" s="34" t="n">
        <x:f>IFERROR(H39/J39,"")</x:f>
        <x:v>1.1859296485158202</x:v>
      </x:c>
      <x:c r="M39" s="32" t="n">
        <x:v>261.8666667</x:v>
      </x:c>
      <x:c r="N39" s="32" t="n">
        <x:v>278.5333333</x:v>
      </x:c>
      <x:c r="O39" s="32" t="str">
        <x:v>OCC</x:v>
      </x:c>
      <x:c r="P39" s="34" t="n">
        <x:f>IFERROR(M39/N39,"")</x:f>
        <x:v>0.9401627575323316</x:v>
      </x:c>
      <x:c r="Q39" s="32" t="n">
        <x:v>230.4</x:v>
      </x:c>
      <x:c r="R39" s="32" t="n">
        <x:v>252</x:v>
      </x:c>
      <x:c r="S39" s="32" t="str">
        <x:v>OCC</x:v>
      </x:c>
      <x:c r="T39" s="34" t="n">
        <x:f>IFERROR(Q39/R39,"")</x:f>
        <x:v>0.9142857142857143</x:v>
      </x:c>
      <x:c r="U39" s="33" t="n">
        <x:v>0.1014509148</x:v>
      </x:c>
      <x:c r="V39" s="33" t="n">
        <x:v>0.09654433056</x:v>
      </x:c>
      <x:c r="W39" s="33" t="n">
        <x:f>IFERROR(U39-V39,"")</x:f>
        <x:v>0.004906584239999998</x:v>
      </x:c>
      <x:c r="X39" s="30" t="n">
        <x:v>4381.911715</x:v>
      </x:c>
      <x:c r="Y39" s="30" t="n">
        <x:v>4587.861797</x:v>
      </x:c>
      <x:c r="Z39" s="33" t="n">
        <x:f>IFERROR(1-X39/Y39,"")</x:f>
        <x:v>0.04489021054092568</x:v>
      </x:c>
      <x:c r="AA39" s="30" t="n">
        <x:v>126280.6507</x:v>
      </x:c>
      <x:c r="AB39" s="30" t="n">
        <x:v>126406.6591</x:v>
      </x:c>
      <x:c r="AC39" s="33" t="n">
        <x:f>IFERROR(1-AA39/AB39,"")</x:f>
        <x:v>0.0009968493819643154</x:v>
      </x:c>
      <x:c r="AD39" s="33" t="n">
        <x:f>IFERROR(H39/H38-1,"")</x:f>
        <x:v>0.7611940297087323</x:v>
      </x:c>
      <x:c r="AE39" s="33" t="str">
        <x:f>IF(AD39&lt;-0.1,"drop &gt;10%",IF(AND(C39&gt;16,AD39&gt;0.5),"jump &gt;50%",""))</x:f>
        <x:v>jump &gt;50%</x:v>
      </x:c>
      <x:c r="AF39" s="33" t="n">
        <x:f>IFERROR(M39/M38-1,"")</x:f>
        <x:v>-0.5928689883395523</x:v>
      </x:c>
      <x:c r="AG39" s="33" t="n">
        <x:f>IFERROR(Q39/Q38-1,"")</x:f>
        <x:v>-0.6315565031786544</x:v>
      </x:c>
      <x:c r="AH39" s="33" t="n">
        <x:f>IFERROR(X39/X38-1,"")</x:f>
        <x:v>-0.2197790572576861</x:v>
      </x:c>
      <x:c r="AI39" s="30" t="n">
        <x:v>0</x:v>
      </x:c>
      <x:c r="AJ39" s="30" t="n">
        <x:v>12.33333333</x:v>
      </x:c>
      <x:c r="AK39" s="30" t="n">
        <x:v>12.33333333</x:v>
      </x:c>
      <x:c r="AL39" s="30" t="n">
        <x:v>11</x:v>
      </x:c>
      <x:c r="AM39" s="30" t="n">
        <x:v>690.1645825286025</x:v>
      </x:c>
      <x:c r="AN39" s="35" t="n">
        <x:f>IFERROR(AI39/AM39,"")</x:f>
        <x:v>0</x:v>
      </x:c>
      <x:c r="AO39" s="35" t="n">
        <x:f>IFERROR(AJ39/AM39,"")</x:f>
        <x:v>0.01787013364959056</x:v>
      </x:c>
      <x:c r="AP39" s="35" t="n">
        <x:f>IFERROR(AK39/AM39,"")</x:f>
        <x:v>0.01787013364959056</x:v>
      </x:c>
      <x:c r="AQ39" s="35" t="n">
        <x:f>IFERROR(AL39/AM39,"")</x:f>
        <x:v>0.01593822731340191</x:v>
      </x:c>
      <x:c r="AR39" s="30" t="n">
        <x:v>2740.333333</x:v>
      </x:c>
      <x:c r="AS39" s="30" t="n">
        <x:v>0</x:v>
      </x:c>
      <x:c r="AT39" s="30" t="n">
        <x:v>0</x:v>
      </x:c>
      <x:c r="AU39" s="30" t="n">
        <x:v>0</x:v>
      </x:c>
      <x:c r="AV39" s="30" t="n">
        <x:v>11</x:v>
      </x:c>
      <x:c r="AW39" s="44" t="str">
        <x:v>matrix mean; seeds=940201,940202,940203</x:v>
      </x:c>
    </x:row>
    <x:row r="40">
      <x:c r="A40" s="30" t="str">
        <x:v>TPC-C low</x:v>
      </x:c>
      <x:c r="B40" s="31" t="n">
        <x:v>0.8</x:v>
      </x:c>
      <x:c r="C40" s="30" t="n">
        <x:v>32</x:v>
      </x:c>
      <x:c r="D40" s="30" t="n">
        <x:v>26</x:v>
      </x:c>
      <x:c r="E40" s="30" t="n">
        <x:v>6</x:v>
      </x:c>
      <x:c r="F40" s="30" t="n">
        <x:v>3</x:v>
      </x:c>
      <x:c r="G40" s="30" t="str">
        <x:v>matrix_mean</x:v>
      </x:c>
      <x:c r="H40" s="32" t="n">
        <x:v>36.93333333</x:v>
      </x:c>
      <x:c r="I40" s="33" t="n">
        <x:v>0.09211083626</x:v>
      </x:c>
      <x:c r="J40" s="32" t="n">
        <x:v>40.26666667</x:v>
      </x:c>
      <x:c r="K40" s="32" t="str">
        <x:v>Silo</x:v>
      </x:c>
      <x:c r="L40" s="34" t="n">
        <x:f>IFERROR(H40/J40,"")</x:f>
        <x:v>0.9172185428876476</x:v>
      </x:c>
      <x:c r="M40" s="32" t="n">
        <x:v>319.4666667</x:v>
      </x:c>
      <x:c r="N40" s="32" t="n">
        <x:v>265.7333333</x:v>
      </x:c>
      <x:c r="O40" s="32" t="str">
        <x:v>2PL-wait-die</x:v>
      </x:c>
      <x:c r="P40" s="34" t="n">
        <x:f>IFERROR(M40/N40,"")</x:f>
        <x:v>1.202207727320899</x:v>
      </x:c>
      <x:c r="Q40" s="32" t="n">
        <x:v>282.5333333</x:v>
      </x:c>
      <x:c r="R40" s="32" t="n">
        <x:v>229.7333333</x:v>
      </x:c>
      <x:c r="S40" s="32" t="str">
        <x:v>2PL-wait-die</x:v>
      </x:c>
      <x:c r="T40" s="34" t="n">
        <x:f>IFERROR(Q40/R40,"")</x:f>
        <x:v>1.2298316889480312</x:v>
      </x:c>
      <x:c r="U40" s="33" t="n">
        <x:v>0.1174986365</x:v>
      </x:c>
      <x:c r="V40" s="33" t="n">
        <x:v>0.0805660668</x:v>
      </x:c>
      <x:c r="W40" s="33" t="n">
        <x:f>IFERROR(U40-V40,"")</x:f>
        <x:v>0.0369325697</x:v>
      </x:c>
      <x:c r="X40" s="30" t="n">
        <x:v>5517.719935</x:v>
      </x:c>
      <x:c r="Y40" s="30" t="n">
        <x:v>5415.330302</x:v>
      </x:c>
      <x:c r="Z40" s="33" t="n">
        <x:f>IFERROR(1-X40/Y40,"")</x:f>
        <x:v>-0.018907366178972485</x:v>
      </x:c>
      <x:c r="AA40" s="30" t="n">
        <x:v>127141.6814</x:v>
      </x:c>
      <x:c r="AB40" s="30" t="n">
        <x:v>124257.9583</x:v>
      </x:c>
      <x:c r="AC40" s="33" t="n">
        <x:f>IFERROR(1-AA40/AB40,"")</x:f>
        <x:v>-0.02320755257411955</x:v>
      </x:c>
      <x:c r="AD40" s="33" t="n">
        <x:f>IFERROR(H40/H39-1,"")</x:f>
        <x:v>0.1737288133290542</x:v>
      </x:c>
      <x:c r="AE40" s="33" t="str">
        <x:f>IF(AD40&lt;-0.1,"drop &gt;10%",IF(AND(C40&gt;16,AD40&gt;0.5),"jump &gt;50%",""))</x:f>
      </x:c>
      <x:c r="AF40" s="33" t="n">
        <x:f>IFERROR(M40/M39-1,"")</x:f>
        <x:v>0.21995926677444522</x:v>
      </x:c>
      <x:c r="AG40" s="33" t="n">
        <x:f>IFERROR(Q40/Q39-1,"")</x:f>
        <x:v>0.2262731480034721</x:v>
      </x:c>
      <x:c r="AH40" s="33" t="n">
        <x:f>IFERROR(X40/X39-1,"")</x:f>
        <x:v>0.2592038119143165</x:v>
      </x:c>
      <x:c r="AI40" s="30" t="n">
        <x:v>0</x:v>
      </x:c>
      <x:c r="AJ40" s="30" t="n">
        <x:v>17</x:v>
      </x:c>
      <x:c r="AK40" s="30" t="n">
        <x:v>17</x:v>
      </x:c>
      <x:c r="AL40" s="30" t="n">
        <x:v>15.66666667</x:v>
      </x:c>
      <x:c r="AM40" s="30" t="n">
        <x:v>881.9260494510022</x:v>
      </x:c>
      <x:c r="AN40" s="35" t="n">
        <x:f>IFERROR(AI40/AM40,"")</x:f>
        <x:v>0</x:v>
      </x:c>
      <x:c r="AO40" s="35" t="n">
        <x:f>IFERROR(AJ40/AM40,"")</x:f>
        <x:v>0.01927599259663832</x:v>
      </x:c>
      <x:c r="AP40" s="35" t="n">
        <x:f>IFERROR(AK40/AM40,"")</x:f>
        <x:v>0.01927599259663832</x:v>
      </x:c>
      <x:c r="AQ40" s="35" t="n">
        <x:f>IFERROR(AL40/AM40,"")</x:f>
        <x:v>0.017764150043818844</x:v>
      </x:c>
      <x:c r="AR40" s="30" t="n">
        <x:v>5006</x:v>
      </x:c>
      <x:c r="AS40" s="30" t="n">
        <x:v>0</x:v>
      </x:c>
      <x:c r="AT40" s="30" t="n">
        <x:v>0</x:v>
      </x:c>
      <x:c r="AU40" s="30" t="n">
        <x:v>0</x:v>
      </x:c>
      <x:c r="AV40" s="30" t="n">
        <x:v>15.66666667</x:v>
      </x:c>
      <x:c r="AW40" s="44" t="str">
        <x:v>matrix mean; seeds=940201,940202,940203</x:v>
      </x:c>
    </x:row>
    <x:row r="41">
      <x:c r="A41" s="30" t="str">
        <x:v>TPC-C low</x:v>
      </x:c>
      <x:c r="B41" s="31" t="n">
        <x:v>0.8</x:v>
      </x:c>
      <x:c r="C41" s="30" t="n">
        <x:v>40</x:v>
      </x:c>
      <x:c r="D41" s="30" t="n">
        <x:v>32</x:v>
      </x:c>
      <x:c r="E41" s="30" t="n">
        <x:v>8</x:v>
      </x:c>
      <x:c r="F41" s="30" t="n">
        <x:v>3</x:v>
      </x:c>
      <x:c r="G41" s="30" t="str">
        <x:v>matrix_mean</x:v>
      </x:c>
      <x:c r="H41" s="32" t="n">
        <x:v>34</x:v>
      </x:c>
      <x:c r="I41" s="33" t="n">
        <x:v>0.2117647059</x:v>
      </x:c>
      <x:c r="J41" s="32" t="n">
        <x:v>43.33333333</x:v>
      </x:c>
      <x:c r="K41" s="32" t="str">
        <x:v>Polaris</x:v>
      </x:c>
      <x:c r="L41" s="34" t="n">
        <x:f>IFERROR(H41/J41,"")</x:f>
        <x:v>0.7846153846757397</x:v>
      </x:c>
      <x:c r="M41" s="32" t="n">
        <x:v>161.7333333</x:v>
      </x:c>
      <x:c r="N41" s="32" t="n">
        <x:v>282.6666667</x:v>
      </x:c>
      <x:c r="O41" s="32" t="str">
        <x:v>OCC</x:v>
      </x:c>
      <x:c r="P41" s="34" t="n">
        <x:f>IFERROR(M41/N41,"")</x:f>
        <x:v>0.5721698111353574</x:v>
      </x:c>
      <x:c r="Q41" s="32" t="n">
        <x:v>127.7333333</x:v>
      </x:c>
      <x:c r="R41" s="32" t="n">
        <x:v>239.8666667</x:v>
      </x:c>
      <x:c r="S41" s="32" t="str">
        <x:v>OCC</x:v>
      </x:c>
      <x:c r="T41" s="34" t="n">
        <x:f>IFERROR(Q41/R41,"")</x:f>
        <x:v>0.5325180653790275</x:v>
      </x:c>
      <x:c r="U41" s="33" t="n">
        <x:v>0.08311608853</x:v>
      </x:c>
      <x:c r="V41" s="33" t="n">
        <x:v>0.0877035027</x:v>
      </x:c>
      <x:c r="W41" s="33" t="n">
        <x:f>IFERROR(U41-V41,"")</x:f>
        <x:v>-0.004587414169999998</x:v>
      </x:c>
      <x:c r="X41" s="30" t="n">
        <x:v>4969.388379</x:v>
      </x:c>
      <x:c r="Y41" s="30" t="n">
        <x:v>5039.314082</x:v>
      </x:c>
      <x:c r="Z41" s="33" t="n">
        <x:f>IFERROR(1-X41/Y41,"")</x:f>
        <x:v>0.013876035877535053</x:v>
      </x:c>
      <x:c r="AA41" s="30" t="n">
        <x:v>125309.975</x:v>
      </x:c>
      <x:c r="AB41" s="30" t="n">
        <x:v>129233.9223</x:v>
      </x:c>
      <x:c r="AC41" s="33" t="n">
        <x:f>IFERROR(1-AA41/AB41,"")</x:f>
        <x:v>0.030363137094075454</x:v>
      </x:c>
      <x:c r="AD41" s="33" t="n">
        <x:f>IFERROR(H41/H40-1,"")</x:f>
        <x:v>-0.07942238258839562</x:v>
      </x:c>
      <x:c r="AE41" s="33" t="str">
        <x:f>IF(AD41&lt;-0.1,"drop &gt;10%",IF(AND(C41&gt;16,AD41&gt;0.5),"jump &gt;50%",""))</x:f>
      </x:c>
      <x:c r="AF41" s="33" t="n">
        <x:f>IFERROR(M41/M40-1,"")</x:f>
        <x:v>-0.4937395661004028</x:v>
      </x:c>
      <x:c r="AG41" s="33" t="n">
        <x:f>IFERROR(Q41/Q40-1,"")</x:f>
        <x:v>-0.5478999528725697</x:v>
      </x:c>
      <x:c r="AH41" s="33" t="n">
        <x:f>IFERROR(X41/X40-1,"")</x:f>
        <x:v>-0.0993764747865914</x:v>
      </x:c>
      <x:c r="AI41" s="30" t="n">
        <x:v>0</x:v>
      </x:c>
      <x:c r="AJ41" s="30" t="n">
        <x:v>10.66666667</x:v>
      </x:c>
      <x:c r="AK41" s="30" t="n">
        <x:v>10.66666667</x:v>
      </x:c>
      <x:c r="AL41" s="30" t="n">
        <x:v>10.33333333</x:v>
      </x:c>
      <x:c r="AM41" s="30" t="n">
        <x:v>460.69631528857997</x:v>
      </x:c>
      <x:c r="AN41" s="35" t="n">
        <x:f>IFERROR(AI41/AM41,"")</x:f>
        <x:v>0</x:v>
      </x:c>
      <x:c r="AO41" s="35" t="n">
        <x:f>IFERROR(AJ41/AM41,"")</x:f>
        <x:v>0.023153357897638935</x:v>
      </x:c>
      <x:c r="AP41" s="35" t="n">
        <x:f>IFERROR(AK41/AM41,"")</x:f>
        <x:v>0.023153357897638935</x:v>
      </x:c>
      <x:c r="AQ41" s="35" t="n">
        <x:f>IFERROR(AL41/AM41,"")</x:f>
        <x:v>0.022429815449092977</x:v>
      </x:c>
      <x:c r="AR41" s="30" t="n">
        <x:v>2444.333333</x:v>
      </x:c>
      <x:c r="AS41" s="30" t="n">
        <x:v>0</x:v>
      </x:c>
      <x:c r="AT41" s="30" t="n">
        <x:v>0.3333333333</x:v>
      </x:c>
      <x:c r="AU41" s="30" t="n">
        <x:v>8.471046885</x:v>
      </x:c>
      <x:c r="AV41" s="30" t="n">
        <x:v>10.33333333</x:v>
      </x:c>
      <x:c r="AW41" s="44" t="str">
        <x:v>matrix mean; seeds=940201,940202,940203</x:v>
      </x:c>
    </x:row>
    <x:row r="42">
      <x:c r="A42" s="30" t="str">
        <x:v>TPC-C high</x:v>
      </x:c>
      <x:c r="B42" s="31" t="n">
        <x:v>1</x:v>
      </x:c>
      <x:c r="C42" s="30" t="n">
        <x:v>8</x:v>
      </x:c>
      <x:c r="D42" s="30" t="n">
        <x:v>8</x:v>
      </x:c>
      <x:c r="E42" s="30" t="n">
        <x:v>0</x:v>
      </x:c>
      <x:c r="F42" s="30" t="n">
        <x:v>1</x:v>
      </x:c>
      <x:c r="G42" s="30" t="str">
        <x:v>formal_mean</x:v>
      </x:c>
      <x:c r="H42" s="32" t="n">
        <x:v>22.8</x:v>
      </x:c>
      <x:c r="I42" s="33" t="n">
        <x:v>0</x:v>
      </x:c>
      <x:c r="J42" s="32" t="n">
        <x:v>6.933333333</x:v>
      </x:c>
      <x:c r="K42" s="32" t="str">
        <x:v>OCC</x:v>
      </x:c>
      <x:c r="L42" s="34" t="n">
        <x:f>IFERROR(H42/J42,"")</x:f>
        <x:v>3.2884615386196376</x:v>
      </x:c>
      <x:c r="M42" s="32" t="n">
        <x:v>22.8</x:v>
      </x:c>
      <x:c r="N42" s="32" t="n">
        <x:v>6.933333333</x:v>
      </x:c>
      <x:c r="O42" s="32" t="str">
        <x:v>OCC</x:v>
      </x:c>
      <x:c r="P42" s="34" t="n">
        <x:f>IFERROR(M42/N42,"")</x:f>
        <x:v>3.2884615386196376</x:v>
      </x:c>
      <x:c r="Q42" s="32" t="n">
        <x:v>0</x:v>
      </x:c>
      <x:c r="R42" s="32"/>
      <x:c r="S42" s="32" t="str"/>
      <x:c r="T42" s="34" t="str">
        <x:f>IFERROR(Q42/R42,"")</x:f>
      </x:c>
      <x:c r="U42" s="33" t="n">
        <x:v>0.2696629213</x:v>
      </x:c>
      <x:c r="V42" s="33" t="n">
        <x:v>0.2001893939</x:v>
      </x:c>
      <x:c r="W42" s="33" t="n">
        <x:f>IFERROR(U42-V42,"")</x:f>
        <x:v>0.06947352740000001</x:v>
      </x:c>
      <x:c r="X42" s="30" t="n">
        <x:v>768.4640589</x:v>
      </x:c>
      <x:c r="Y42" s="30" t="n">
        <x:v>5138.568779</x:v>
      </x:c>
      <x:c r="Z42" s="33" t="n">
        <x:f>IFERROR(1-X42/Y42,"")</x:f>
        <x:v>0.8504517323888874</x:v>
      </x:c>
      <x:c r="AA42" s="30" t="n">
        <x:v>159998.4071</x:v>
      </x:c>
      <x:c r="AB42" s="30" t="n">
        <x:v>142236.2986</x:v>
      </x:c>
      <x:c r="AC42" s="33" t="n">
        <x:f>IFERROR(1-AA42/AB42,"")</x:f>
        <x:v>-0.12487746570199354</x:v>
      </x:c>
      <x:c r="AD42" s="33"/>
      <x:c r="AE42" s="33"/>
      <x:c r="AF42" s="33"/>
      <x:c r="AG42" s="33"/>
      <x:c r="AH42" s="33"/>
      <x:c r="AI42" s="30" t="n">
        <x:v>0</x:v>
      </x:c>
      <x:c r="AJ42" s="30" t="n">
        <x:v>37</x:v>
      </x:c>
      <x:c r="AK42" s="30" t="n">
        <x:v>37</x:v>
      </x:c>
      <x:c r="AL42" s="30" t="n">
        <x:v>24</x:v>
      </x:c>
      <x:c r="AM42" s="30" t="n">
        <x:v>89.00000001479191</x:v>
      </x:c>
      <x:c r="AN42" s="35" t="n">
        <x:f>IFERROR(AI42/AM42,"")</x:f>
        <x:v>0</x:v>
      </x:c>
      <x:c r="AO42" s="35" t="n">
        <x:f>IFERROR(AJ42/AM42,"")</x:f>
        <x:v>0.4157303370095568</x:v>
      </x:c>
      <x:c r="AP42" s="35" t="n">
        <x:f>IFERROR(AK42/AM42,"")</x:f>
        <x:v>0.4157303370095568</x:v>
      </x:c>
      <x:c r="AQ42" s="35" t="n">
        <x:f>IFERROR(AL42/AM42,"")</x:f>
        <x:v>0.2696629213034963</x:v>
      </x:c>
      <x:c r="AR42" s="30" t="n">
        <x:v>6495</x:v>
      </x:c>
      <x:c r="AS42" s="30" t="n">
        <x:v>0</x:v>
      </x:c>
      <x:c r="AT42" s="30" t="n">
        <x:v>0</x:v>
      </x:c>
      <x:c r="AU42" s="30" t="n">
        <x:v>0</x:v>
      </x:c>
      <x:c r="AV42" s="30" t="n">
        <x:v>24</x:v>
      </x:c>
      <x:c r="AW42" s="44" t="str">
        <x:v>formal_mean seed=940201; retry-plan-cache</x:v>
      </x:c>
    </x:row>
    <x:row r="43">
      <x:c r="A43" s="30" t="str">
        <x:v>TPC-C high</x:v>
      </x:c>
      <x:c r="B43" s="31" t="n">
        <x:v>1</x:v>
      </x:c>
      <x:c r="C43" s="30" t="n">
        <x:v>16</x:v>
      </x:c>
      <x:c r="D43" s="30" t="n">
        <x:v>16</x:v>
      </x:c>
      <x:c r="E43" s="30" t="n">
        <x:v>0</x:v>
      </x:c>
      <x:c r="F43" s="30" t="n">
        <x:v>1</x:v>
      </x:c>
      <x:c r="G43" s="30" t="str">
        <x:v>formal_mean</x:v>
      </x:c>
      <x:c r="H43" s="32" t="n">
        <x:v>36</x:v>
      </x:c>
      <x:c r="I43" s="33" t="n">
        <x:v>0</x:v>
      </x:c>
      <x:c r="J43" s="32" t="n">
        <x:v>9.2</x:v>
      </x:c>
      <x:c r="K43" s="32" t="str">
        <x:v>OCC</x:v>
      </x:c>
      <x:c r="L43" s="34" t="n">
        <x:f>IFERROR(H43/J43,"")</x:f>
        <x:v>3.91304347826087</x:v>
      </x:c>
      <x:c r="M43" s="32" t="n">
        <x:v>36</x:v>
      </x:c>
      <x:c r="N43" s="32" t="n">
        <x:v>9.2</x:v>
      </x:c>
      <x:c r="O43" s="32" t="str">
        <x:v>OCC</x:v>
      </x:c>
      <x:c r="P43" s="34" t="n">
        <x:f>IFERROR(M43/N43,"")</x:f>
        <x:v>3.91304347826087</x:v>
      </x:c>
      <x:c r="Q43" s="32" t="n">
        <x:v>0</x:v>
      </x:c>
      <x:c r="R43" s="32"/>
      <x:c r="S43" s="32" t="str"/>
      <x:c r="T43" s="34" t="str">
        <x:f>IFERROR(Q43/R43,"")</x:f>
      </x:c>
      <x:c r="U43" s="33" t="n">
        <x:v>0.4778325123</x:v>
      </x:c>
      <x:c r="V43" s="33" t="n">
        <x:v>0.3537584382</x:v>
      </x:c>
      <x:c r="W43" s="33" t="n">
        <x:f>IFERROR(U43-V43,"")</x:f>
        <x:v>0.12407407409999999</x:v>
      </x:c>
      <x:c r="X43" s="30" t="n">
        <x:v>943.2873204</x:v>
      </x:c>
      <x:c r="Y43" s="30" t="n">
        <x:v>7695.149049</x:v>
      </x:c>
      <x:c r="Z43" s="33" t="n">
        <x:f>IFERROR(1-X43/Y43,"")</x:f>
        <x:v>0.8774179272690524</x:v>
      </x:c>
      <x:c r="AA43" s="30" t="n">
        <x:v>230162.5278</x:v>
      </x:c>
      <x:c r="AB43" s="30" t="n">
        <x:v>165044.3347</x:v>
      </x:c>
      <x:c r="AC43" s="33" t="n">
        <x:f>IFERROR(1-AA43/AB43,"")</x:f>
        <x:v>-0.39454970216557217</x:v>
      </x:c>
      <x:c r="AD43" s="33" t="n">
        <x:f>IFERROR(H43/H42-1,"")</x:f>
        <x:v>0.5789473684210527</x:v>
      </x:c>
      <x:c r="AE43" s="33" t="str">
        <x:f>IF(AD43&lt;-0.1,"drop &gt;10%",IF(AND(C43&gt;16,AD43&gt;0.5),"jump &gt;50%",""))</x:f>
      </x:c>
      <x:c r="AF43" s="33" t="n">
        <x:f>IFERROR(M43/M42-1,"")</x:f>
        <x:v>0.5789473684210527</x:v>
      </x:c>
      <x:c r="AG43" s="33" t="str">
        <x:f>IFERROR(Q43/Q42-1,"")</x:f>
      </x:c>
      <x:c r="AH43" s="33" t="n">
        <x:f>IFERROR(X43/X42-1,"")</x:f>
        <x:v>0.227496991531714</x:v>
      </x:c>
      <x:c r="AI43" s="30" t="n">
        <x:v>9</x:v>
      </x:c>
      <x:c r="AJ43" s="30" t="n">
        <x:v>112</x:v>
      </x:c>
      <x:c r="AK43" s="30" t="n">
        <x:v>121</x:v>
      </x:c>
      <x:c r="AL43" s="30" t="n">
        <x:v>97</x:v>
      </x:c>
      <x:c r="AM43" s="30" t="n">
        <x:v>203.00000000216352</x:v>
      </x:c>
      <x:c r="AN43" s="35" t="n">
        <x:f>IFERROR(AI43/AM43,"")</x:f>
        <x:v>0.04433497536898562</x:v>
      </x:c>
      <x:c r="AO43" s="35" t="n">
        <x:f>IFERROR(AJ43/AM43,"")</x:f>
        <x:v>0.5517241379251544</x:v>
      </x:c>
      <x:c r="AP43" s="35" t="n">
        <x:f>IFERROR(AK43/AM43,"")</x:f>
        <x:v>0.59605911329414</x:v>
      </x:c>
      <x:c r="AQ43" s="35" t="n">
        <x:f>IFERROR(AL43/AM43,"")</x:f>
        <x:v>0.4778325123101783</x:v>
      </x:c>
      <x:c r="AR43" s="30" t="n">
        <x:v>21938</x:v>
      </x:c>
      <x:c r="AS43" s="30" t="n">
        <x:v>0</x:v>
      </x:c>
      <x:c r="AT43" s="30" t="n">
        <x:v>7</x:v>
      </x:c>
      <x:c r="AU43" s="30" t="n">
        <x:v>136.8732471</x:v>
      </x:c>
      <x:c r="AV43" s="30" t="n">
        <x:v>85</x:v>
      </x:c>
      <x:c r="AW43" s="44" t="str">
        <x:v>formal_mean seed=940201; retry-plan-cache</x:v>
      </x:c>
    </x:row>
    <x:row r="44">
      <x:c r="A44" s="30" t="str">
        <x:v>TPC-C high</x:v>
      </x:c>
      <x:c r="B44" s="31" t="n">
        <x:v>1</x:v>
      </x:c>
      <x:c r="C44" s="30" t="n">
        <x:v>24</x:v>
      </x:c>
      <x:c r="D44" s="30" t="n">
        <x:v>24</x:v>
      </x:c>
      <x:c r="E44" s="30" t="n">
        <x:v>0</x:v>
      </x:c>
      <x:c r="F44" s="30" t="n">
        <x:v>1</x:v>
      </x:c>
      <x:c r="G44" s="30" t="str">
        <x:v>formal_mean</x:v>
      </x:c>
      <x:c r="H44" s="32" t="n">
        <x:v>33.6</x:v>
      </x:c>
      <x:c r="I44" s="33" t="n">
        <x:v>0</x:v>
      </x:c>
      <x:c r="J44" s="32" t="n">
        <x:v>14</x:v>
      </x:c>
      <x:c r="K44" s="32" t="str">
        <x:v>Silo</x:v>
      </x:c>
      <x:c r="L44" s="34" t="n">
        <x:f>IFERROR(H44/J44,"")</x:f>
        <x:v>2.4</x:v>
      </x:c>
      <x:c r="M44" s="32" t="n">
        <x:v>33.6</x:v>
      </x:c>
      <x:c r="N44" s="32" t="n">
        <x:v>14</x:v>
      </x:c>
      <x:c r="O44" s="32" t="str">
        <x:v>Silo</x:v>
      </x:c>
      <x:c r="P44" s="34" t="n">
        <x:f>IFERROR(M44/N44,"")</x:f>
        <x:v>2.4</x:v>
      </x:c>
      <x:c r="Q44" s="32" t="n">
        <x:v>0</x:v>
      </x:c>
      <x:c r="R44" s="32"/>
      <x:c r="S44" s="32" t="str"/>
      <x:c r="T44" s="34" t="str">
        <x:f>IFERROR(Q44/R44,"")</x:f>
      </x:c>
      <x:c r="U44" s="33" t="n">
        <x:v>0.6218181818</x:v>
      </x:c>
      <x:c r="V44" s="33" t="n">
        <x:v>0.3510814582</x:v>
      </x:c>
      <x:c r="W44" s="33" t="n">
        <x:f>IFERROR(U44-V44,"")</x:f>
        <x:v>0.27073672360000006</x:v>
      </x:c>
      <x:c r="X44" s="30" t="n">
        <x:v>1541.583792</x:v>
      </x:c>
      <x:c r="Y44" s="30" t="n">
        <x:v>9131.889303</x:v>
      </x:c>
      <x:c r="Z44" s="33" t="n">
        <x:f>IFERROR(1-X44/Y44,"")</x:f>
        <x:v>0.8311867631275863</x:v>
      </x:c>
      <x:c r="AA44" s="30" t="n">
        <x:v>300313.2441</x:v>
      </x:c>
      <x:c r="AB44" s="30" t="n">
        <x:v>171830.4365</x:v>
      </x:c>
      <x:c r="AC44" s="33" t="n">
        <x:f>IFERROR(1-AA44/AB44,"")</x:f>
        <x:v>-0.7477302055273543</x:v>
      </x:c>
      <x:c r="AD44" s="33" t="n">
        <x:f>IFERROR(H44/H43-1,"")</x:f>
        <x:v>-0.06666666666666665</x:v>
      </x:c>
      <x:c r="AE44" s="33" t="str">
        <x:f>IF(AD44&lt;-0.1,"drop &gt;10%",IF(AND(C44&gt;16,AD44&gt;0.5),"jump &gt;50%",""))</x:f>
      </x:c>
      <x:c r="AF44" s="33" t="n">
        <x:f>IFERROR(M44/M43-1,"")</x:f>
        <x:v>-0.06666666666666665</x:v>
      </x:c>
      <x:c r="AG44" s="33" t="str">
        <x:f>IFERROR(Q44/Q43-1,"")</x:f>
      </x:c>
      <x:c r="AH44" s="33" t="n">
        <x:f>IFERROR(X44/X43-1,"")</x:f>
        <x:v>0.6342674799723724</x:v>
      </x:c>
      <x:c r="AI44" s="30" t="n">
        <x:v>40</x:v>
      </x:c>
      <x:c r="AJ44" s="30" t="n">
        <x:v>152</x:v>
      </x:c>
      <x:c r="AK44" s="30" t="n">
        <x:v>192</x:v>
      </x:c>
      <x:c r="AL44" s="30" t="n">
        <x:v>171</x:v>
      </x:c>
      <x:c r="AM44" s="30" t="n">
        <x:v>274.99999999239856</x:v>
      </x:c>
      <x:c r="AN44" s="35" t="n">
        <x:f>IFERROR(AI44/AM44,"")</x:f>
        <x:v>0.14545454545856606</x:v>
      </x:c>
      <x:c r="AO44" s="35" t="n">
        <x:f>IFERROR(AJ44/AM44,"")</x:f>
        <x:v>0.552727272742551</x:v>
      </x:c>
      <x:c r="AP44" s="35" t="n">
        <x:f>IFERROR(AK44/AM44,"")</x:f>
        <x:v>0.698181818201117</x:v>
      </x:c>
      <x:c r="AQ44" s="35" t="n">
        <x:f>IFERROR(AL44/AM44,"")</x:f>
        <x:v>0.6218181818353699</x:v>
      </x:c>
      <x:c r="AR44" s="30" t="n">
        <x:v>25430</x:v>
      </x:c>
      <x:c r="AS44" s="30" t="n">
        <x:v>0</x:v>
      </x:c>
      <x:c r="AT44" s="30" t="n">
        <x:v>47</x:v>
      </x:c>
      <x:c r="AU44" s="30" t="n">
        <x:v>3949.887332</x:v>
      </x:c>
      <x:c r="AV44" s="30" t="n">
        <x:v>148</x:v>
      </x:c>
      <x:c r="AW44" s="44" t="str">
        <x:v>formal_mean seed=940201; retry-plan-cache</x:v>
      </x:c>
    </x:row>
    <x:row r="45">
      <x:c r="A45" s="30" t="str">
        <x:v>TPC-C high</x:v>
      </x:c>
      <x:c r="B45" s="31" t="n">
        <x:v>1</x:v>
      </x:c>
      <x:c r="C45" s="30" t="n">
        <x:v>32</x:v>
      </x:c>
      <x:c r="D45" s="30" t="n">
        <x:v>32</x:v>
      </x:c>
      <x:c r="E45" s="30" t="n">
        <x:v>0</x:v>
      </x:c>
      <x:c r="F45" s="30" t="n">
        <x:v>1</x:v>
      </x:c>
      <x:c r="G45" s="30" t="str">
        <x:v>formal_mean</x:v>
      </x:c>
      <x:c r="H45" s="32" t="n">
        <x:v>28.4</x:v>
      </x:c>
      <x:c r="I45" s="33" t="n">
        <x:v>0</x:v>
      </x:c>
      <x:c r="J45" s="32" t="n">
        <x:v>15.2</x:v>
      </x:c>
      <x:c r="K45" s="32" t="str">
        <x:v>2PL-wait-die</x:v>
      </x:c>
      <x:c r="L45" s="34" t="n">
        <x:f>IFERROR(H45/J45,"")</x:f>
        <x:v>1.868421052631579</x:v>
      </x:c>
      <x:c r="M45" s="32" t="n">
        <x:v>28.4</x:v>
      </x:c>
      <x:c r="N45" s="32" t="n">
        <x:v>15.2</x:v>
      </x:c>
      <x:c r="O45" s="32" t="str">
        <x:v>2PL-wait-die</x:v>
      </x:c>
      <x:c r="P45" s="34" t="n">
        <x:f>IFERROR(M45/N45,"")</x:f>
        <x:v>1.868421052631579</x:v>
      </x:c>
      <x:c r="Q45" s="32" t="n">
        <x:v>0</x:v>
      </x:c>
      <x:c r="R45" s="32"/>
      <x:c r="S45" s="32" t="str"/>
      <x:c r="T45" s="34" t="str">
        <x:f>IFERROR(Q45/R45,"")</x:f>
      </x:c>
      <x:c r="U45" s="33" t="n">
        <x:v>0.6607773852</x:v>
      </x:c>
      <x:c r="V45" s="33" t="n">
        <x:v>0.3965873496</x:v>
      </x:c>
      <x:c r="W45" s="33" t="n">
        <x:f>IFERROR(U45-V45,"")</x:f>
        <x:v>0.26419003559999993</x:v>
      </x:c>
      <x:c r="X45" s="30" t="n">
        <x:v>2332.394822</x:v>
      </x:c>
      <x:c r="Y45" s="30" t="n">
        <x:v>7641.67834</x:v>
      </x:c>
      <x:c r="Z45" s="33" t="n">
        <x:f>IFERROR(1-X45/Y45,"")</x:f>
        <x:v>0.6947797698064323</x:v>
      </x:c>
      <x:c r="AA45" s="30" t="n">
        <x:v>340641.3516</x:v>
      </x:c>
      <x:c r="AB45" s="30" t="n">
        <x:v>176643.72</x:v>
      </x:c>
      <x:c r="AC45" s="33" t="n">
        <x:f>IFERROR(1-AA45/AB45,"")</x:f>
        <x:v>-0.9284090688307516</x:v>
      </x:c>
      <x:c r="AD45" s="33" t="n">
        <x:f>IFERROR(H45/H44-1,"")</x:f>
        <x:v>-0.15476190476190488</x:v>
      </x:c>
      <x:c r="AE45" s="33" t="str">
        <x:f>IF(AD45&lt;-0.1,"drop &gt;10%",IF(AND(C45&gt;16,AD45&gt;0.5),"jump &gt;50%",""))</x:f>
        <x:v>drop &gt;10%</x:v>
      </x:c>
      <x:c r="AF45" s="33" t="n">
        <x:f>IFERROR(M45/M44-1,"")</x:f>
        <x:v>-0.15476190476190488</x:v>
      </x:c>
      <x:c r="AG45" s="33" t="str">
        <x:f>IFERROR(Q45/Q44-1,"")</x:f>
      </x:c>
      <x:c r="AH45" s="33" t="n">
        <x:f>IFERROR(X45/X44-1,"")</x:f>
        <x:v>0.5129860823030763</x:v>
      </x:c>
      <x:c r="AI45" s="30" t="n">
        <x:v>47</x:v>
      </x:c>
      <x:c r="AJ45" s="30" t="n">
        <x:v>159</x:v>
      </x:c>
      <x:c r="AK45" s="30" t="n">
        <x:v>206</x:v>
      </x:c>
      <x:c r="AL45" s="30" t="n">
        <x:v>187</x:v>
      </x:c>
      <x:c r="AM45" s="30" t="n">
        <x:v>283.00000001464576</x:v>
      </x:c>
      <x:c r="AN45" s="35" t="n">
        <x:f>IFERROR(AI45/AM45,"")</x:f>
        <x:v>0.16607773850730623</x:v>
      </x:c>
      <x:c r="AO45" s="35" t="n">
        <x:f>IFERROR(AJ45/AM45,"")</x:f>
        <x:v>0.5618374558013126</x:v>
      </x:c>
      <x:c r="AP45" s="35" t="n">
        <x:f>IFERROR(AK45/AM45,"")</x:f>
        <x:v>0.7279151943086188</x:v>
      </x:c>
      <x:c r="AQ45" s="35" t="n">
        <x:f>IFERROR(AL45/AM45,"")</x:f>
        <x:v>0.6607773851248142</x:v>
      </x:c>
      <x:c r="AR45" s="30" t="n">
        <x:v>26270</x:v>
      </x:c>
      <x:c r="AS45" s="30" t="n">
        <x:v>0</x:v>
      </x:c>
      <x:c r="AT45" s="30" t="n">
        <x:v>49</x:v>
      </x:c>
      <x:c r="AU45" s="30" t="n">
        <x:v>8733.940254</x:v>
      </x:c>
      <x:c r="AV45" s="30" t="n">
        <x:v>159</x:v>
      </x:c>
      <x:c r="AW45" s="44" t="str">
        <x:v>formal_mean seed=940201; retry-plan-cache</x:v>
      </x:c>
    </x:row>
    <x:row r="46">
      <x:c r="A46" s="30" t="str">
        <x:v>TPC-C high</x:v>
      </x:c>
      <x:c r="B46" s="31" t="n">
        <x:v>1</x:v>
      </x:c>
      <x:c r="C46" s="30" t="n">
        <x:v>40</x:v>
      </x:c>
      <x:c r="D46" s="30" t="n">
        <x:v>40</x:v>
      </x:c>
      <x:c r="E46" s="30" t="n">
        <x:v>0</x:v>
      </x:c>
      <x:c r="F46" s="30" t="n">
        <x:v>1</x:v>
      </x:c>
      <x:c r="G46" s="30" t="str">
        <x:v>formal_mean</x:v>
      </x:c>
      <x:c r="H46" s="32" t="n">
        <x:v>20.4</x:v>
      </x:c>
      <x:c r="I46" s="33" t="n">
        <x:v>0</x:v>
      </x:c>
      <x:c r="J46" s="32" t="n">
        <x:v>14.13333333</x:v>
      </x:c>
      <x:c r="K46" s="32" t="str">
        <x:v>2PL-wait-die</x:v>
      </x:c>
      <x:c r="L46" s="34" t="n">
        <x:f>IFERROR(H46/J46,"")</x:f>
        <x:v>1.443396226755518</x:v>
      </x:c>
      <x:c r="M46" s="32" t="n">
        <x:v>20.4</x:v>
      </x:c>
      <x:c r="N46" s="32" t="n">
        <x:v>14.13333333</x:v>
      </x:c>
      <x:c r="O46" s="32" t="str">
        <x:v>2PL-wait-die</x:v>
      </x:c>
      <x:c r="P46" s="34" t="n">
        <x:f>IFERROR(M46/N46,"")</x:f>
        <x:v>1.443396226755518</x:v>
      </x:c>
      <x:c r="Q46" s="32" t="n">
        <x:v>0</x:v>
      </x:c>
      <x:c r="R46" s="32"/>
      <x:c r="S46" s="32" t="str"/>
      <x:c r="T46" s="34" t="str">
        <x:f>IFERROR(Q46/R46,"")</x:f>
      </x:c>
      <x:c r="U46" s="33" t="n">
        <x:v>0.7586206897</x:v>
      </x:c>
      <x:c r="V46" s="33" t="n">
        <x:v>0.4400876164</x:v>
      </x:c>
      <x:c r="W46" s="33" t="n">
        <x:f>IFERROR(U46-V46,"")</x:f>
        <x:v>0.31853307329999997</x:v>
      </x:c>
      <x:c r="X46" s="30" t="n">
        <x:v>3216.82356</x:v>
      </x:c>
      <x:c r="Y46" s="30" t="n">
        <x:v>9849.49539</x:v>
      </x:c>
      <x:c r="Z46" s="33" t="n">
        <x:f>IFERROR(1-X46/Y46,"")</x:f>
        <x:v>0.6734021964956725</x:v>
      </x:c>
      <x:c r="AA46" s="30" t="n">
        <x:v>494999.3889</x:v>
      </x:c>
      <x:c r="AB46" s="30" t="n">
        <x:v>204181.8593</x:v>
      </x:c>
      <x:c r="AC46" s="33" t="n">
        <x:f>IFERROR(1-AA46/AB46,"")</x:f>
        <x:v>-1.424306403110514</x:v>
      </x:c>
      <x:c r="AD46" s="33" t="n">
        <x:f>IFERROR(H46/H45-1,"")</x:f>
        <x:v>-0.2816901408450705</x:v>
      </x:c>
      <x:c r="AE46" s="33" t="str">
        <x:f>IF(AD46&lt;-0.1,"drop &gt;10%",IF(AND(C46&gt;16,AD46&gt;0.5),"jump &gt;50%",""))</x:f>
        <x:v>drop &gt;10%</x:v>
      </x:c>
      <x:c r="AF46" s="33" t="n">
        <x:f>IFERROR(M46/M45-1,"")</x:f>
        <x:v>-0.2816901408450705</x:v>
      </x:c>
      <x:c r="AG46" s="33" t="str">
        <x:f>IFERROR(Q46/Q45-1,"")</x:f>
      </x:c>
      <x:c r="AH46" s="33" t="n">
        <x:f>IFERROR(X46/X45-1,"")</x:f>
        <x:v>0.37919340656124967</x:v>
      </x:c>
      <x:c r="AI46" s="30" t="n">
        <x:v>93</x:v>
      </x:c>
      <x:c r="AJ46" s="30" t="n">
        <x:v>136</x:v>
      </x:c>
      <x:c r="AK46" s="30" t="n">
        <x:v>229</x:v>
      </x:c>
      <x:c r="AL46" s="30" t="n">
        <x:v>242</x:v>
      </x:c>
      <x:c r="AM46" s="30" t="n">
        <x:v>318.99999999930645</x:v>
      </x:c>
      <x:c r="AN46" s="35" t="n">
        <x:f>IFERROR(AI46/AM46,"")</x:f>
        <x:v>0.29153605015737366</x:v>
      </x:c>
      <x:c r="AO46" s="35" t="n">
        <x:f>IFERROR(AJ46/AM46,"")</x:f>
        <x:v>0.4263322884021808</x:v>
      </x:c>
      <x:c r="AP46" s="35" t="n">
        <x:f>IFERROR(AK46/AM46,"")</x:f>
        <x:v>0.7178683385595545</x:v>
      </x:c>
      <x:c r="AQ46" s="35" t="n">
        <x:f>IFERROR(AL46/AM46,"")</x:f>
        <x:v>0.7586206896568217</x:v>
      </x:c>
      <x:c r="AR46" s="30" t="n">
        <x:v>24066</x:v>
      </x:c>
      <x:c r="AS46" s="30" t="n">
        <x:v>0</x:v>
      </x:c>
      <x:c r="AT46" s="30" t="n">
        <x:v>95</x:v>
      </x:c>
      <x:c r="AU46" s="30" t="n">
        <x:v>26108.45147</x:v>
      </x:c>
      <x:c r="AV46" s="30" t="n">
        <x:v>194</x:v>
      </x:c>
      <x:c r="AW46" s="44" t="str">
        <x:v>formal_mean seed=940201; retry-plan-cache</x:v>
      </x:c>
    </x:row>
    <x:row r="47">
      <x:c r="A47" s="30" t="str">
        <x:v>TPC-C high</x:v>
      </x:c>
      <x:c r="B47" s="31" t="n">
        <x:v>0.8</x:v>
      </x:c>
      <x:c r="C47" s="30" t="n">
        <x:v>8</x:v>
      </x:c>
      <x:c r="D47" s="30" t="n">
        <x:v>6</x:v>
      </x:c>
      <x:c r="E47" s="30" t="n">
        <x:v>2</x:v>
      </x:c>
      <x:c r="F47" s="30" t="n">
        <x:v>3</x:v>
      </x:c>
      <x:c r="G47" s="30" t="str">
        <x:v>matrix_mean</x:v>
      </x:c>
      <x:c r="H47" s="32" t="n">
        <x:v>0.9333333333</x:v>
      </x:c>
      <x:c r="I47" s="33" t="n">
        <x:v>1.078547776</x:v>
      </x:c>
      <x:c r="J47" s="32" t="n">
        <x:v>0</x:v>
      </x:c>
      <x:c r="K47" s="32" t="str">
        <x:v>OCC</x:v>
      </x:c>
      <x:c r="L47" s="34" t="str">
        <x:f>IFERROR(H47/J47,"")</x:f>
      </x:c>
      <x:c r="M47" s="32" t="n">
        <x:v>761.0666667</x:v>
      </x:c>
      <x:c r="N47" s="32" t="n">
        <x:v>1316.266667</x:v>
      </x:c>
      <x:c r="O47" s="32" t="str">
        <x:v>OCC</x:v>
      </x:c>
      <x:c r="P47" s="34" t="n">
        <x:f>IFERROR(M47/N47,"")</x:f>
        <x:v>0.5782009723262255</x:v>
      </x:c>
      <x:c r="Q47" s="32" t="n">
        <x:v>760.1333333</x:v>
      </x:c>
      <x:c r="R47" s="32" t="n">
        <x:v>1316.266667</x:v>
      </x:c>
      <x:c r="S47" s="32" t="str">
        <x:v>OCC</x:v>
      </x:c>
      <x:c r="T47" s="34" t="n">
        <x:f>IFERROR(Q47/R47,"")</x:f>
        <x:v>0.5774918961007162</x:v>
      </x:c>
      <x:c r="U47" s="33" t="n">
        <x:v>0.439869281</x:v>
      </x:c>
      <x:c r="V47" s="33" t="n">
        <x:v>0.5</x:v>
      </x:c>
      <x:c r="W47" s="33" t="n">
        <x:f>IFERROR(U47-V47,"")</x:f>
        <x:v>-0.060130719</x:v>
      </x:c>
      <x:c r="X47" s="30" t="n">
        <x:v>4980.483333</x:v>
      </x:c>
      <x:c r="Y47" s="30" t="n">
        <x:v>5326.299669</x:v>
      </x:c>
      <x:c r="Z47" s="33" t="n">
        <x:f>IFERROR(1-X47/Y47,"")</x:f>
        <x:v>0.06492618844048748</x:v>
      </x:c>
      <x:c r="AA47" s="30" t="n">
        <x:v>114598.0318</x:v>
      </x:c>
      <x:c r="AB47" s="30" t="n">
        <x:v>136351.3333</x:v>
      </x:c>
      <x:c r="AC47" s="33" t="n">
        <x:f>IFERROR(1-AA47/AB47,"")</x:f>
        <x:v>0.15953860496646866</x:v>
      </x:c>
      <x:c r="AD47" s="33"/>
      <x:c r="AE47" s="33"/>
      <x:c r="AF47" s="33"/>
      <x:c r="AG47" s="33"/>
      <x:c r="AH47" s="33"/>
      <x:c r="AI47" s="30" t="n">
        <x:v>6.333333333</x:v>
      </x:c>
      <x:c r="AJ47" s="30" t="n">
        <x:v>0</x:v>
      </x:c>
      <x:c r="AK47" s="30" t="n">
        <x:v>6.333333333</x:v>
      </x:c>
      <x:c r="AL47" s="30" t="n">
        <x:v>6.333333333</x:v>
      </x:c>
      <x:c r="AM47" s="30" t="n">
        <x:v>2088.059935747112</x:v>
      </x:c>
      <x:c r="AN47" s="35" t="n">
        <x:f>IFERROR(AI47/AM47,"")</x:f>
        <x:v>0.003033118554010242</x:v>
      </x:c>
      <x:c r="AO47" s="35" t="n">
        <x:f>IFERROR(AJ47/AM47,"")</x:f>
        <x:v>0</x:v>
      </x:c>
      <x:c r="AP47" s="35" t="n">
        <x:f>IFERROR(AK47/AM47,"")</x:f>
        <x:v>0.003033118554010242</x:v>
      </x:c>
      <x:c r="AQ47" s="35" t="n">
        <x:f>IFERROR(AL47/AM47,"")</x:f>
        <x:v>0.003033118554010242</x:v>
      </x:c>
      <x:c r="AR47" s="30" t="n">
        <x:v>903.3333333</x:v>
      </x:c>
      <x:c r="AS47" s="30" t="n">
        <x:v>0</x:v>
      </x:c>
      <x:c r="AT47" s="30" t="n">
        <x:v>0.3333333333</x:v>
      </x:c>
      <x:c r="AU47" s="30" t="n">
        <x:v>0.1611979678</x:v>
      </x:c>
      <x:c r="AV47" s="30" t="n">
        <x:v>6.333333333</x:v>
      </x:c>
      <x:c r="AW47" s="44" t="str">
        <x:v>matrix mean; seeds=940201,940202,940203</x:v>
      </x:c>
    </x:row>
    <x:row r="48">
      <x:c r="A48" s="30" t="str">
        <x:v>TPC-C high</x:v>
      </x:c>
      <x:c r="B48" s="31" t="n">
        <x:v>0.8</x:v>
      </x:c>
      <x:c r="C48" s="30" t="n">
        <x:v>16</x:v>
      </x:c>
      <x:c r="D48" s="30" t="n">
        <x:v>13</x:v>
      </x:c>
      <x:c r="E48" s="30" t="n">
        <x:v>3</x:v>
      </x:c>
      <x:c r="F48" s="30" t="n">
        <x:v>3</x:v>
      </x:c>
      <x:c r="G48" s="30" t="str">
        <x:v>matrix_mean</x:v>
      </x:c>
      <x:c r="H48" s="32" t="n">
        <x:v>3.866666667</x:v>
      </x:c>
      <x:c r="I48" s="33" t="n">
        <x:v>0.3325396814</x:v>
      </x:c>
      <x:c r="J48" s="32" t="n">
        <x:v>0</x:v>
      </x:c>
      <x:c r="K48" s="32" t="str">
        <x:v>OCC</x:v>
      </x:c>
      <x:c r="L48" s="34" t="str">
        <x:f>IFERROR(H48/J48,"")</x:f>
      </x:c>
      <x:c r="M48" s="32" t="n">
        <x:v>216.8</x:v>
      </x:c>
      <x:c r="N48" s="32" t="n">
        <x:v>858.9333333</x:v>
      </x:c>
      <x:c r="O48" s="32" t="str">
        <x:v>OCC</x:v>
      </x:c>
      <x:c r="P48" s="34" t="n">
        <x:f>IFERROR(M48/N48,"")</x:f>
        <x:v>0.25240608507654483</x:v>
      </x:c>
      <x:c r="Q48" s="32" t="n">
        <x:v>212.9333333</x:v>
      </x:c>
      <x:c r="R48" s="32" t="n">
        <x:v>858.9333333</x:v>
      </x:c>
      <x:c r="S48" s="32" t="str">
        <x:v>OCC</x:v>
      </x:c>
      <x:c r="T48" s="34" t="n">
        <x:f>IFERROR(Q48/R48,"")</x:f>
        <x:v>0.24790437749332134</x:v>
      </x:c>
      <x:c r="U48" s="33" t="n">
        <x:v>0.4193258937</x:v>
      </x:c>
      <x:c r="V48" s="33" t="n">
        <x:v>0.5463875205</x:v>
      </x:c>
      <x:c r="W48" s="33" t="n">
        <x:f>IFERROR(U48-V48,"")</x:f>
        <x:v>-0.12706162679999994</x:v>
      </x:c>
      <x:c r="X48" s="30" t="n">
        <x:v>7006.733112</x:v>
      </x:c>
      <x:c r="Y48" s="30" t="n">
        <x:v>5867.121266</x:v>
      </x:c>
      <x:c r="Z48" s="33" t="n">
        <x:f>IFERROR(1-X48/Y48,"")</x:f>
        <x:v>-0.19423696806883073</x:v>
      </x:c>
      <x:c r="AA48" s="30" t="n">
        <x:v>182307.0073</x:v>
      </x:c>
      <x:c r="AB48" s="30" t="n">
        <x:v>221965.8817</x:v>
      </x:c>
      <x:c r="AC48" s="33" t="n">
        <x:f>IFERROR(1-AA48/AB48,"")</x:f>
        <x:v>0.17867103762190495</x:v>
      </x:c>
      <x:c r="AD48" s="33" t="n">
        <x:f>IFERROR(H48/H47-1,"")</x:f>
        <x:v>3.142857143362245</x:v>
      </x:c>
      <x:c r="AE48" s="33" t="str">
        <x:f>IF(AD48&lt;-0.1,"drop &gt;10%",IF(AND(C48&gt;16,AD48&gt;0.5),"jump &gt;50%",""))</x:f>
      </x:c>
      <x:c r="AF48" s="33" t="n">
        <x:f>IFERROR(M48/M47-1,"")</x:f>
        <x:v>-0.7151366503278234</x:v>
      </x:c>
      <x:c r="AG48" s="33" t="n">
        <x:f>IFERROR(Q48/Q47-1,"")</x:f>
        <x:v>-0.7198737063988718</x:v>
      </x:c>
      <x:c r="AH48" s="33" t="n">
        <x:f>IFERROR(X48/X47-1,"")</x:f>
        <x:v>0.4068379800760191</x:v>
      </x:c>
      <x:c r="AI48" s="30" t="n">
        <x:v>14.66666667</x:v>
      </x:c>
      <x:c r="AJ48" s="30" t="n">
        <x:v>0</x:v>
      </x:c>
      <x:c r="AK48" s="30" t="n">
        <x:v>14.66666667</x:v>
      </x:c>
      <x:c r="AL48" s="30" t="n">
        <x:v>16.33333333</x:v>
      </x:c>
      <x:c r="AM48" s="30" t="n">
        <x:v>983.0314118612124</x:v>
      </x:c>
      <x:c r="AN48" s="35" t="n">
        <x:f>IFERROR(AI48/AM48,"")</x:f>
        <x:v>0.014919835208755962</x:v>
      </x:c>
      <x:c r="AO48" s="35" t="n">
        <x:f>IFERROR(AJ48/AM48,"")</x:f>
        <x:v>0</x:v>
      </x:c>
      <x:c r="AP48" s="35" t="n">
        <x:f>IFERROR(AK48/AM48,"")</x:f>
        <x:v>0.014919835208755962</x:v>
      </x:c>
      <x:c r="AQ48" s="35" t="n">
        <x:f>IFERROR(AL48/AM48,"")</x:f>
        <x:v>0.016615271020765706</x:v>
      </x:c>
      <x:c r="AR48" s="30" t="n">
        <x:v>7928.666667</x:v>
      </x:c>
      <x:c r="AS48" s="30" t="n">
        <x:v>0</x:v>
      </x:c>
      <x:c r="AT48" s="30" t="n">
        <x:v>3.666666667</x:v>
      </x:c>
      <x:c r="AU48" s="30" t="n">
        <x:v>259.638913</x:v>
      </x:c>
      <x:c r="AV48" s="30" t="n">
        <x:v>14.66666667</x:v>
      </x:c>
      <x:c r="AW48" s="44" t="str">
        <x:v>matrix mean; seeds=940201,940202,940203</x:v>
      </x:c>
    </x:row>
    <x:row r="49">
      <x:c r="A49" s="30" t="str">
        <x:v>TPC-C high</x:v>
      </x:c>
      <x:c r="B49" s="31" t="n">
        <x:v>0.8</x:v>
      </x:c>
      <x:c r="C49" s="30" t="n">
        <x:v>24</x:v>
      </x:c>
      <x:c r="D49" s="30" t="n">
        <x:v>19</x:v>
      </x:c>
      <x:c r="E49" s="30" t="n">
        <x:v>5</x:v>
      </x:c>
      <x:c r="F49" s="30" t="n">
        <x:v>3</x:v>
      </x:c>
      <x:c r="G49" s="30" t="str">
        <x:v>matrix_mean</x:v>
      </x:c>
      <x:c r="H49" s="32" t="n">
        <x:v>7.333333333</x:v>
      </x:c>
      <x:c r="I49" s="33" t="n">
        <x:v>0.1753391047</x:v>
      </x:c>
      <x:c r="J49" s="32" t="n">
        <x:v>0</x:v>
      </x:c>
      <x:c r="K49" s="32" t="str">
        <x:v>OCC</x:v>
      </x:c>
      <x:c r="L49" s="34" t="str">
        <x:f>IFERROR(H49/J49,"")</x:f>
      </x:c>
      <x:c r="M49" s="32" t="n">
        <x:v>71.46666667</x:v>
      </x:c>
      <x:c r="N49" s="32" t="n">
        <x:v>537.4666667</x:v>
      </x:c>
      <x:c r="O49" s="32" t="str">
        <x:v>OCC</x:v>
      </x:c>
      <x:c r="P49" s="34" t="n">
        <x:f>IFERROR(M49/N49,"")</x:f>
        <x:v>0.13296948647773693</x:v>
      </x:c>
      <x:c r="Q49" s="32" t="n">
        <x:v>64.13333333</x:v>
      </x:c>
      <x:c r="R49" s="32" t="n">
        <x:v>537.4666667</x:v>
      </x:c>
      <x:c r="S49" s="32" t="str">
        <x:v>OCC</x:v>
      </x:c>
      <x:c r="T49" s="34" t="n">
        <x:f>IFERROR(Q49/R49,"")</x:f>
        <x:v>0.11932522945799272</x:v>
      </x:c>
      <x:c r="U49" s="33" t="n">
        <x:v>0.3951891799</x:v>
      </x:c>
      <x:c r="V49" s="33" t="n">
        <x:v>0.5613275613</x:v>
      </x:c>
      <x:c r="W49" s="33" t="n">
        <x:f>IFERROR(U49-V49,"")</x:f>
        <x:v>-0.16613838140000003</x:v>
      </x:c>
      <x:c r="X49" s="30" t="n">
        <x:v>7718.803797</x:v>
      </x:c>
      <x:c r="Y49" s="30" t="n">
        <x:v>7750.070692</x:v>
      </x:c>
      <x:c r="Z49" s="33" t="n">
        <x:f>IFERROR(1-X49/Y49,"")</x:f>
        <x:v>0.004034401264529919</x:v>
      </x:c>
      <x:c r="AA49" s="30" t="n">
        <x:v>190793.1756</x:v>
      </x:c>
      <x:c r="AB49" s="30" t="n">
        <x:v>256133.5845</x:v>
      </x:c>
      <x:c r="AC49" s="33" t="n">
        <x:f>IFERROR(1-AA49/AB49,"")</x:f>
        <x:v>0.25510285590837856</x:v>
      </x:c>
      <x:c r="AD49" s="33" t="n">
        <x:f>IFERROR(H49/H48-1,"")</x:f>
        <x:v>0.8965517238882281</x:v>
      </x:c>
      <x:c r="AE49" s="33" t="str">
        <x:f>IF(AD49&lt;-0.1,"drop &gt;10%",IF(AND(C49&gt;16,AD49&gt;0.5),"jump &gt;50%",""))</x:f>
        <x:v>jump &gt;50%</x:v>
      </x:c>
      <x:c r="AF49" s="33" t="n">
        <x:f>IFERROR(M49/M48-1,"")</x:f>
        <x:v>-0.6703567035516605</x:v>
      </x:c>
      <x:c r="AG49" s="33" t="n">
        <x:f>IFERROR(Q49/Q48-1,"")</x:f>
        <x:v>-0.6988102692233579</x:v>
      </x:c>
      <x:c r="AH49" s="33" t="n">
        <x:f>IFERROR(X49/X48-1,"")</x:f>
        <x:v>0.10162663164385122</x:v>
      </x:c>
      <x:c r="AI49" s="30" t="n">
        <x:v>18</x:v>
      </x:c>
      <x:c r="AJ49" s="30" t="n">
        <x:v>0</x:v>
      </x:c>
      <x:c r="AK49" s="30" t="n">
        <x:v>18</x:v>
      </x:c>
      <x:c r="AL49" s="30" t="n">
        <x:v>24.33333333</x:v>
      </x:c>
      <x:c r="AM49" s="30" t="n">
        <x:v>574.0074346546955</x:v>
      </x:c>
      <x:c r="AN49" s="35" t="n">
        <x:f>IFERROR(AI49/AM49,"")</x:f>
        <x:v>0.03135847885111143</x:v>
      </x:c>
      <x:c r="AO49" s="35" t="n">
        <x:f>IFERROR(AJ49/AM49,"")</x:f>
        <x:v>0</x:v>
      </x:c>
      <x:c r="AP49" s="35" t="n">
        <x:f>IFERROR(AK49/AM49,"")</x:f>
        <x:v>0.03135847885111143</x:v>
      </x:c>
      <x:c r="AQ49" s="35" t="n">
        <x:f>IFERROR(AL49/AM49,"")</x:f>
        <x:v>0.042392017700324996</x:v>
      </x:c>
      <x:c r="AR49" s="30" t="n">
        <x:v>15753.66667</x:v>
      </x:c>
      <x:c r="AS49" s="30" t="n">
        <x:v>0</x:v>
      </x:c>
      <x:c r="AT49" s="30" t="n">
        <x:v>7.666666667</x:v>
      </x:c>
      <x:c r="AU49" s="30" t="n">
        <x:v>647.380056</x:v>
      </x:c>
      <x:c r="AV49" s="30" t="n">
        <x:v>18</x:v>
      </x:c>
      <x:c r="AW49" s="44" t="str">
        <x:v>matrix mean; seeds=940201,940202,940203</x:v>
      </x:c>
    </x:row>
    <x:row r="50">
      <x:c r="A50" s="30" t="str">
        <x:v>TPC-C high</x:v>
      </x:c>
      <x:c r="B50" s="31" t="n">
        <x:v>0.8</x:v>
      </x:c>
      <x:c r="C50" s="30" t="n">
        <x:v>32</x:v>
      </x:c>
      <x:c r="D50" s="30" t="n">
        <x:v>26</x:v>
      </x:c>
      <x:c r="E50" s="30" t="n">
        <x:v>6</x:v>
      </x:c>
      <x:c r="F50" s="30" t="n">
        <x:v>3</x:v>
      </x:c>
      <x:c r="G50" s="30" t="str">
        <x:v>matrix_mean</x:v>
      </x:c>
      <x:c r="H50" s="32" t="n">
        <x:v>7.733333333</x:v>
      </x:c>
      <x:c r="I50" s="33" t="n">
        <x:v>0.07900992578</x:v>
      </x:c>
      <x:c r="J50" s="32" t="n">
        <x:v>0</x:v>
      </x:c>
      <x:c r="K50" s="32" t="str">
        <x:v>OCC</x:v>
      </x:c>
      <x:c r="L50" s="34" t="str">
        <x:f>IFERROR(H50/J50,"")</x:f>
      </x:c>
      <x:c r="M50" s="32" t="n">
        <x:v>66.93333333</x:v>
      </x:c>
      <x:c r="N50" s="32" t="n">
        <x:v>399.3333333</x:v>
      </x:c>
      <x:c r="O50" s="32" t="str">
        <x:v>OCC</x:v>
      </x:c>
      <x:c r="P50" s="34" t="n">
        <x:f>IFERROR(M50/N50,"")</x:f>
        <x:v>0.1676126878186655</x:v>
      </x:c>
      <x:c r="Q50" s="32" t="n">
        <x:v>59.2</x:v>
      </x:c>
      <x:c r="R50" s="32" t="n">
        <x:v>399.3333333</x:v>
      </x:c>
      <x:c r="S50" s="32" t="str">
        <x:v>OCC</x:v>
      </x:c>
      <x:c r="T50" s="34" t="n">
        <x:f>IFERROR(Q50/R50,"")</x:f>
        <x:v>0.14824707847648141</x:v>
      </x:c>
      <x:c r="U50" s="33" t="n">
        <x:v>0.4559265835</x:v>
      </x:c>
      <x:c r="V50" s="33" t="n">
        <x:v>0.5905384376</x:v>
      </x:c>
      <x:c r="W50" s="33" t="n">
        <x:f>IFERROR(U50-V50,"")</x:f>
        <x:v>-0.13461185410000004</x:v>
      </x:c>
      <x:c r="X50" s="30" t="n">
        <x:v>8904.189717</x:v>
      </x:c>
      <x:c r="Y50" s="30" t="n">
        <x:v>8926.039762</x:v>
      </x:c>
      <x:c r="Z50" s="33" t="n">
        <x:f>IFERROR(1-X50/Y50,"")</x:f>
        <x:v>0.0024478991336136513</x:v>
      </x:c>
      <x:c r="AA50" s="30" t="n">
        <x:v>214578.348</x:v>
      </x:c>
      <x:c r="AB50" s="30" t="n">
        <x:v>265672.3787</x:v>
      </x:c>
      <x:c r="AC50" s="33" t="n">
        <x:f>IFERROR(1-AA50/AB50,"")</x:f>
        <x:v>0.1923196944673572</x:v>
      </x:c>
      <x:c r="AD50" s="33" t="n">
        <x:f>IFERROR(H50/H49-1,"")</x:f>
        <x:v>0.054545454547934025</x:v>
      </x:c>
      <x:c r="AE50" s="33" t="str">
        <x:f>IF(AD50&lt;-0.1,"drop &gt;10%",IF(AND(C50&gt;16,AD50&gt;0.5),"jump &gt;50%",""))</x:f>
      </x:c>
      <x:c r="AF50" s="33" t="n">
        <x:f>IFERROR(M50/M49-1,"")</x:f>
        <x:v>-0.06343283591122051</x:v>
      </x:c>
      <x:c r="AG50" s="33" t="n">
        <x:f>IFERROR(Q50/Q49-1,"")</x:f>
        <x:v>-0.07692307687509992</x:v>
      </x:c>
      <x:c r="AH50" s="33" t="n">
        <x:f>IFERROR(X50/X49-1,"")</x:f>
        <x:v>0.15357119460151503</x:v>
      </x:c>
      <x:c r="AI50" s="30" t="n">
        <x:v>19.66666667</x:v>
      </x:c>
      <x:c r="AJ50" s="30" t="n">
        <x:v>0</x:v>
      </x:c>
      <x:c r="AK50" s="30" t="n">
        <x:v>19.66666667</x:v>
      </x:c>
      <x:c r="AL50" s="30" t="n">
        <x:v>38</x:v>
      </x:c>
      <x:c r="AM50" s="30" t="n">
        <x:v>579.0410706428962</x:v>
      </x:c>
      <x:c r="AN50" s="35" t="n">
        <x:f>IFERROR(AI50/AM50,"")</x:f>
        <x:v>0.03396419989373905</x:v>
      </x:c>
      <x:c r="AO50" s="35" t="n">
        <x:f>IFERROR(AJ50/AM50,"")</x:f>
        <x:v>0</x:v>
      </x:c>
      <x:c r="AP50" s="35" t="n">
        <x:f>IFERROR(AK50/AM50,"")</x:f>
        <x:v>0.03396419989373905</x:v>
      </x:c>
      <x:c r="AQ50" s="35" t="n">
        <x:f>IFERROR(AL50/AM50,"")</x:f>
        <x:v>0.06562574215644057</x:v>
      </x:c>
      <x:c r="AR50" s="30" t="n">
        <x:v>35012</x:v>
      </x:c>
      <x:c r="AS50" s="30" t="n">
        <x:v>0</x:v>
      </x:c>
      <x:c r="AT50" s="30" t="n">
        <x:v>10.66666667</x:v>
      </x:c>
      <x:c r="AU50" s="30" t="n">
        <x:v>931.548884</x:v>
      </x:c>
      <x:c r="AV50" s="30" t="n">
        <x:v>19.66666667</x:v>
      </x:c>
      <x:c r="AW50" s="44" t="str">
        <x:v>matrix mean; seeds=940201,940202,940203</x:v>
      </x:c>
    </x:row>
    <x:row r="51">
      <x:c r="A51" s="37" t="str">
        <x:v>TPC-C high</x:v>
      </x:c>
      <x:c r="B51" s="38" t="n">
        <x:v>0.8</x:v>
      </x:c>
      <x:c r="C51" s="37" t="n">
        <x:v>40</x:v>
      </x:c>
      <x:c r="D51" s="37" t="n">
        <x:v>32</x:v>
      </x:c>
      <x:c r="E51" s="37" t="n">
        <x:v>8</x:v>
      </x:c>
      <x:c r="F51" s="37" t="n">
        <x:v>3</x:v>
      </x:c>
      <x:c r="G51" s="37" t="str">
        <x:v>matrix_mean</x:v>
      </x:c>
      <x:c r="H51" s="39" t="n">
        <x:v>8.133333333</x:v>
      </x:c>
      <x:c r="I51" s="40" t="n">
        <x:v>0.07512419172</x:v>
      </x:c>
      <x:c r="J51" s="39" t="n">
        <x:v>0.1333333333</x:v>
      </x:c>
      <x:c r="K51" s="39" t="str">
        <x:v>OCC</x:v>
      </x:c>
      <x:c r="L51" s="41" t="n">
        <x:f>IFERROR(H51/J51,"")</x:f>
        <x:v>61.00000001275</x:v>
      </x:c>
      <x:c r="M51" s="39" t="n">
        <x:v>56.13333333</x:v>
      </x:c>
      <x:c r="N51" s="39" t="n">
        <x:v>246.8</x:v>
      </x:c>
      <x:c r="O51" s="39" t="str">
        <x:v>Silo</x:v>
      </x:c>
      <x:c r="P51" s="41" t="n">
        <x:f>IFERROR(M51/N51,"")</x:f>
        <x:v>0.2274446245137763</x:v>
      </x:c>
      <x:c r="Q51" s="39" t="n">
        <x:v>48</x:v>
      </x:c>
      <x:c r="R51" s="39" t="n">
        <x:v>246.8</x:v>
      </x:c>
      <x:c r="S51" s="39" t="str">
        <x:v>Silo</x:v>
      </x:c>
      <x:c r="T51" s="41" t="n">
        <x:f>IFERROR(Q51/R51,"")</x:f>
        <x:v>0.1944894651539708</x:v>
      </x:c>
      <x:c r="U51" s="40" t="n">
        <x:v>0.4728981336</x:v>
      </x:c>
      <x:c r="V51" s="40" t="n">
        <x:v>0.5866686131</x:v>
      </x:c>
      <x:c r="W51" s="40" t="n">
        <x:f>IFERROR(U51-V51,"")</x:f>
        <x:v>-0.11377047949999997</x:v>
      </x:c>
      <x:c r="X51" s="37" t="n">
        <x:v>8612.666871</x:v>
      </x:c>
      <x:c r="Y51" s="37" t="n">
        <x:v>9515.020082</x:v>
      </x:c>
      <x:c r="Z51" s="40" t="n">
        <x:f>IFERROR(1-X51/Y51,"")</x:f>
        <x:v>0.09483460919930398</x:v>
      </x:c>
      <x:c r="AA51" s="37" t="n">
        <x:v>212549.4446</x:v>
      </x:c>
      <x:c r="AB51" s="37" t="n">
        <x:v>260008.7306</x:v>
      </x:c>
      <x:c r="AC51" s="40" t="n">
        <x:f>IFERROR(1-AA51/AB51,"")</x:f>
        <x:v>0.18252958618151882</x:v>
      </x:c>
      <x:c r="AD51" s="40" t="n">
        <x:f>IFERROR(H51/H50-1,"")</x:f>
        <x:v>0.0517241379332638</x:v>
      </x:c>
      <x:c r="AE51" s="40" t="str">
        <x:f>IF(AD51&lt;-0.1,"drop &gt;10%",IF(AND(C51&gt;16,AD51&gt;0.5),"jump &gt;50%",""))</x:f>
      </x:c>
      <x:c r="AF51" s="40" t="n">
        <x:f>IFERROR(M51/M50-1,"")</x:f>
        <x:v>-0.1613545816813423</x:v>
      </x:c>
      <x:c r="AG51" s="40" t="n">
        <x:f>IFERROR(Q51/Q50-1,"")</x:f>
        <x:v>-0.18918918918918926</x:v>
      </x:c>
      <x:c r="AH51" s="40" t="n">
        <x:f>IFERROR(X51/X50-1,"")</x:f>
        <x:v>-0.032739963462752875</x:v>
      </x:c>
      <x:c r="AI51" s="37" t="n">
        <x:v>28</x:v>
      </x:c>
      <x:c r="AJ51" s="37" t="n">
        <x:v>0</x:v>
      </x:c>
      <x:c r="AK51" s="37" t="n">
        <x:v>28</x:v>
      </x:c>
      <x:c r="AL51" s="37" t="n">
        <x:v>47</x:v>
      </x:c>
      <x:c r="AM51" s="37" t="n">
        <x:v>580.3811452093264</x:v>
      </x:c>
      <x:c r="AN51" s="42" t="n">
        <x:f>IFERROR(AI51/AM51,"")</x:f>
        <x:v>0.04824415856910931</x:v>
      </x:c>
      <x:c r="AO51" s="42" t="n">
        <x:f>IFERROR(AJ51/AM51,"")</x:f>
        <x:v>0</x:v>
      </x:c>
      <x:c r="AP51" s="42" t="n">
        <x:f>IFERROR(AK51/AM51,"")</x:f>
        <x:v>0.04824415856910931</x:v>
      </x:c>
      <x:c r="AQ51" s="42" t="n">
        <x:f>IFERROR(AL51/AM51,"")</x:f>
        <x:v>0.08098126616957635</x:v>
      </x:c>
      <x:c r="AR51" s="37" t="n">
        <x:v>43179.33333</x:v>
      </x:c>
      <x:c r="AS51" s="37" t="n">
        <x:v>0</x:v>
      </x:c>
      <x:c r="AT51" s="37" t="n">
        <x:v>14.33333333</x:v>
      </x:c>
      <x:c r="AU51" s="37" t="n">
        <x:v>1162.111915</x:v>
      </x:c>
      <x:c r="AV51" s="37" t="n">
        <x:v>28</x:v>
      </x:c>
      <x:c r="AW51" s="45" t="str">
        <x:v>matrix mean; seeds=940201,940202,940203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38" hidden="0" customWidth="1"/>
    <x:col min="3" max="3" width="27" hidden="0" customWidth="1"/>
    <x:col min="4" max="4" width="38" hidden="0" customWidth="1"/>
    <x:col min="5" max="5" width="38" hidden="0" customWidth="1"/>
    <x:col min="6" max="6" width="38" hidden="0" customWidth="1"/>
    <x:col min="7" max="7" width="27" hidden="0" customWidth="1"/>
  </x:cols>
  <x:sheetData>
    <x:row r="1" ht="30" customHeight="1">
      <x:c r="A1" s="48" t="str">
        <x:v>Paper claim check</x:v>
      </x:c>
      <x:c r="B1" s="48" t="str">
        <x:v>Paper claim check</x:v>
      </x:c>
      <x:c r="C1" s="48" t="str">
        <x:v>Paper claim check</x:v>
      </x:c>
      <x:c r="D1" s="48" t="str">
        <x:v>Paper claim check</x:v>
      </x:c>
      <x:c r="E1" s="48" t="str">
        <x:v>Paper claim check</x:v>
      </x:c>
      <x:c r="F1" s="48" t="str">
        <x:v>Paper claim check</x:v>
      </x:c>
      <x:c r="G1" s="48" t="str">
        <x:v>Paper claim check</x:v>
      </x:c>
    </x:row>
    <x:row r="2" ht="32" customHeight="1">
      <x:c r="A2" s="51" t="str">
        <x:v>The current matrix contains OCC, 2PL-wait-die, Silo, and Polaris. It cannot substantiate exact comparisons against MOCC, Polyjuice, or Wound-Wait.</x:v>
      </x:c>
      <x:c r="B2" s="51" t="str">
        <x:v>The current matrix contains OCC, 2PL-wait-die, Silo, and Polaris. It cannot substantiate exact comparisons against MOCC, Polyjuice, or Wound-Wait.</x:v>
      </x:c>
      <x:c r="C2" s="51" t="str">
        <x:v>The current matrix contains OCC, 2PL-wait-die, Silo, and Polaris. It cannot substantiate exact comparisons against MOCC, Polyjuice, or Wound-Wait.</x:v>
      </x:c>
      <x:c r="D2" s="51" t="str">
        <x:v>The current matrix contains OCC, 2PL-wait-die, Silo, and Polaris. It cannot substantiate exact comparisons against MOCC, Polyjuice, or Wound-Wait.</x:v>
      </x:c>
      <x:c r="E2" s="51" t="str">
        <x:v>The current matrix contains OCC, 2PL-wait-die, Silo, and Polaris. It cannot substantiate exact comparisons against MOCC, Polyjuice, or Wound-Wait.</x:v>
      </x:c>
      <x:c r="F2" s="51" t="str">
        <x:v>The current matrix contains OCC, 2PL-wait-die, Silo, and Polaris. It cannot substantiate exact comparisons against MOCC, Polyjuice, or Wound-Wait.</x:v>
      </x:c>
      <x:c r="G2" s="51" t="str">
        <x:v>The current matrix contains OCC, 2PL-wait-die, Silo, and Polaris. It cannot substantiate exact comparisons against MOCC, Polyjuice, or Wound-Wait.</x:v>
      </x:c>
    </x:row>
    <x:row r="4" ht="32" customHeight="1">
      <x:c r="A4" s="9" t="str">
        <x:v>Paper claim</x:v>
      </x:c>
      <x:c r="B4" s="10" t="str">
        <x:v>Current evidence</x:v>
      </x:c>
      <x:c r="C4" s="10" t="str">
        <x:v>Assessment</x:v>
      </x:c>
      <x:c r="D4" s="10" t="str">
        <x:v>Primary risk</x:v>
      </x:c>
      <x:c r="E4" s="10" t="str">
        <x:v>Allowed wording</x:v>
      </x:c>
      <x:c r="F4" s="10" t="str">
        <x:v>Do not claim</x:v>
      </x:c>
      <x:c r="G4" s="11" t="str">
        <x:v>Evidence scope</x:v>
      </x:c>
    </x:row>
    <x:row r="5" ht="84" customHeight="1">
      <x:c r="A5" s="79" t="str">
        <x:v>YCSB medium: 18.1x vs Polaris, 76.9x vs Polyjuice; ~16% fewer tokens; 5x lower tail latency</x:v>
      </x:c>
      <x:c r="B5" s="79" t="str">
        <x:v>All-Agent speedup 0.95-0.99x; 8:2 speedup 0.92-1.92x with unstable P99.</x:v>
      </x:c>
      <x:c r="C5" s="79" t="str">
        <x:v>Not supported</x:v>
      </x:c>
      <x:c r="D5" s="79" t="str">
        <x:v>Magnitude is far below the paper and Polyjuice is absent.</x:v>
      </x:c>
      <x:c r="E5" s="79" t="str">
        <x:v>ATCC is near baseline parity in the current medium-contention implementation.</x:v>
      </x:c>
      <x:c r="F5" s="79" t="str">
        <x:v>Do not quote the paper's medium-contention multipliers for this system.</x:v>
      </x:c>
      <x:c r="G5" s="79" t="str">
        <x:v>YCSB medium, ratios 1.0 and 0.8, clients 8-40</x:v>
      </x:c>
    </x:row>
    <x:row r="6" ht="84" customHeight="1">
      <x:c r="A6" s="83" t="str">
        <x:v>YCSB high: 3.1x vs MOCC, 2.2x vs Wound-Wait; abort &lt;30%; much lower tokens and tail latency</x:v>
      </x:c>
      <x:c r="B6" s="83" t="str">
        <x:v>All-Agent speedup 0.92-1.28x and abort 17.6-30.8%. 8:2 ratios are 17.5-28.6x but several baselines are near zero.</x:v>
      </x:c>
      <x:c r="C6" s="83" t="str">
        <x:v>Not supported as stated</x:v>
      </x:c>
      <x:c r="D6" s="83" t="str">
        <x:v>Missing named baselines; denominator-floor inflation; 8:2 total/background cliffs.</x:v>
      </x:c>
      <x:c r="E6" s="83" t="str">
        <x:v>The 8:2 ATCC Agent path remains productive under severe contention, with an explicit denominator caveat.</x:v>
      </x:c>
      <x:c r="F6" s="83" t="str">
        <x:v>Do not present 17-29x as a robust algorithmic speedup or claim abort &lt;30% at every client count.</x:v>
      </x:c>
      <x:c r="G6" s="83" t="str">
        <x:v>YCSB high, ratios 1.0 and 0.8, clients 8-40</x:v>
      </x:c>
    </x:row>
    <x:row r="7" ht="84" customHeight="1">
      <x:c r="A7" s="83" t="str">
        <x:v>TPC-C low: near-linear scale-out</x:v>
      </x:c>
      <x:c r="B7" s="83" t="str">
        <x:v>All-Agent TPS rises 25.5 -&gt; 92.3 while clients rise 8 -&gt; 40 (3.62x TPS for 5x clients).</x:v>
      </x:c>
      <x:c r="C7" s="83" t="str">
        <x:v>Partially supported</x:v>
      </x:c>
      <x:c r="D7" s="83" t="str">
        <x:v>Scaling is monotone but sublinear and slightly below the best baseline at all points.</x:v>
      </x:c>
      <x:c r="E7" s="83" t="str">
        <x:v>TPC-C low scales monotonically through 40 clients.</x:v>
      </x:c>
      <x:c r="F7" s="83" t="str">
        <x:v>Do not call the observed curve near-linear without a quantified efficiency caveat.</x:v>
      </x:c>
      <x:c r="G7" s="83" t="str">
        <x:v>TPC-C low, Agent ratio 1.0</x:v>
      </x:c>
    </x:row>
    <x:row r="8" ht="84" customHeight="1">
      <x:c r="A8" s="83" t="str">
        <x:v>TPC-C high: 2.2x vs Wound-Wait and &gt;10x vs other methods</x:v>
      </x:c>
      <x:c r="B8" s="83" t="str">
        <x:v>All-Agent Agent TPS is 1.44-3.91x vs the best available baseline; 3/5 points exceed 2.2x. P99 reduction is large.</x:v>
      </x:c>
      <x:c r="C8" s="83" t="str">
        <x:v>Strong but narrower</x:v>
      </x:c>
      <x:c r="D8" s="83" t="str">
        <x:v>Wound-Wait is absent; speedup drops below 2.2x at 32/40; abort reaches 75.9%.</x:v>
      </x:c>
      <x:c r="E8" s="83" t="str">
        <x:v>ATCC improves Agent TPS by 1.44-3.91x and materially lowers P99 versus the tested best baseline.</x:v>
      </x:c>
      <x:c r="F8" s="83" t="str">
        <x:v>Do not claim &gt;10x, Wound-Wait superiority, or controlled abort at high concurrency.</x:v>
      </x:c>
      <x:c r="G8" s="83" t="str">
        <x:v>TPC-C high, Agent ratio 1.0, clients 8-40</x:v>
      </x:c>
    </x:row>
    <x:row r="9" ht="84" customHeight="1">
      <x:c r="A9" s="87" t="str">
        <x:v>Overall: up to 90% tail-latency reduction</x:v>
      </x:c>
      <x:c r="B9" s="87" t="str">
        <x:v>TPC-C high All-Agent P99 reduction is approximately 67-88% versus the best Agent-TPS baseline.</x:v>
      </x:c>
      <x:c r="C9" s="87" t="str">
        <x:v>Nearly supported for one workload</x:v>
      </x:c>
      <x:c r="D9" s="87" t="str">
        <x:v>The result is workload-specific and uses one-seed formal overrides.</x:v>
      </x:c>
      <x:c r="E9" s="87" t="str">
        <x:v>Up to 88% P99 reduction on TPC-C high in this matrix.</x:v>
      </x:c>
      <x:c r="F9" s="87" t="str">
        <x:v>Do not generalize the reduction to all workloads or claim a multi-seed confidence interval.</x:v>
      </x:c>
      <x:c r="G9" s="87" t="str">
        <x:v>TPC-C high, Agent ratio 1.0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30" customHeight="1">
      <x:c r="A1" s="48" t="str">
        <x:v>YCSB curves - Agent ratio 1.0</x:v>
      </x:c>
      <x:c r="B1" s="48" t="str">
        <x:v>YCSB curves - Agent ratio 1.0</x:v>
      </x:c>
      <x:c r="C1" s="48" t="str">
        <x:v>YCSB curves - Agent ratio 1.0</x:v>
      </x:c>
      <x:c r="D1" s="48" t="str">
        <x:v>YCSB curves - Agent ratio 1.0</x:v>
      </x:c>
      <x:c r="E1" s="48" t="str">
        <x:v>YCSB curves - Agent ratio 1.0</x:v>
      </x:c>
      <x:c r="F1" s="48" t="str">
        <x:v>YCSB curves - Agent ratio 1.0</x:v>
      </x:c>
      <x:c r="G1" s="48" t="str">
        <x:v>YCSB curves - Agent ratio 1.0</x:v>
      </x:c>
      <x:c r="H1" s="48" t="str">
        <x:v>YCSB curves - Agent ratio 1.0</x:v>
      </x:c>
      <x:c r="I1" s="48" t="str">
        <x:v>YCSB curves - Agent ratio 1.0</x:v>
      </x:c>
      <x:c r="J1" s="48" t="str">
        <x:v>YCSB curves - Agent ratio 1.0</x:v>
      </x:c>
      <x:c r="K1" s="48" t="str">
        <x:v>YCSB curves - Agent ratio 1.0</x:v>
      </x:c>
      <x:c r="L1" s="48" t="str">
        <x:v>YCSB curves - Agent ratio 1.0</x:v>
      </x:c>
      <x:c r="M1" s="48" t="str">
        <x:v>YCSB curves - Agent ratio 1.0</x:v>
      </x:c>
      <x:c r="N1" s="48" t="str">
        <x:v>YCSB curves - Agent ratio 1.0</x:v>
      </x:c>
      <x:c r="O1" s="48" t="str">
        <x:v>YCSB curves - Agent ratio 1.0</x:v>
      </x:c>
      <x:c r="P1" s="48" t="str">
        <x:v>YCSB curves - Agent ratio 1.0</x:v>
      </x:c>
      <x:c r="Q1" s="48" t="str">
        <x:v>YCSB curves - Agent ratio 1.0</x:v>
      </x:c>
      <x:c r="R1" s="48" t="str">
        <x:v>YCSB curves - Agent ratio 1.0</x:v>
      </x:c>
      <x:c r="S1" s="48" t="str">
        <x:v>YCSB curves - Agent ratio 1.0</x:v>
      </x:c>
      <x:c r="T1" s="48" t="str">
        <x:v>YCSB curves - Agent ratio 1.0</x:v>
      </x:c>
      <x:c r="U1" s="48" t="str">
        <x:v>YCSB curves - Agent ratio 1.0</x:v>
      </x:c>
      <x:c r="V1" s="48" t="str">
        <x:v>YCSB curves - Agent ratio 1.0</x:v>
      </x:c>
      <x:c r="W1" s="48" t="str">
        <x:v>YCSB curves - Agent ratio 1.0</x:v>
      </x:c>
    </x:row>
    <x:row r="2" ht="32" customHeight="1">
      <x:c r="A2" s="51" t="str">
        <x:v>All chart series link to the formula-driven Curve Data sheet. Inspect Agent TPS together with total/background TPS, abort, P99, and token cost.</x:v>
      </x:c>
      <x:c r="B2" s="51" t="str">
        <x:v>All chart series link to the formula-driven Curve Data sheet. Inspect Agent TPS together with total/background TPS, abort, P99, and token cost.</x:v>
      </x:c>
      <x:c r="C2" s="51" t="str">
        <x:v>All chart series link to the formula-driven Curve Data sheet. Inspect Agent TPS together with total/background TPS, abort, P99, and token cost.</x:v>
      </x:c>
      <x:c r="D2" s="51" t="str">
        <x:v>All chart series link to the formula-driven Curve Data sheet. Inspect Agent TPS together with total/background TPS, abort, P99, and token cost.</x:v>
      </x:c>
      <x:c r="E2" s="51" t="str">
        <x:v>All chart series link to the formula-driven Curve Data sheet. Inspect Agent TPS together with total/background TPS, abort, P99, and token cost.</x:v>
      </x:c>
      <x:c r="F2" s="51" t="str">
        <x:v>All chart series link to the formula-driven Curve Data sheet. Inspect Agent TPS together with total/background TPS, abort, P99, and token cost.</x:v>
      </x:c>
      <x:c r="G2" s="51" t="str">
        <x:v>All chart series link to the formula-driven Curve Data sheet. Inspect Agent TPS together with total/background TPS, abort, P99, and token cost.</x:v>
      </x:c>
      <x:c r="H2" s="51" t="str">
        <x:v>All chart series link to the formula-driven Curve Data sheet. Inspect Agent TPS together with total/background TPS, abort, P99, and token cost.</x:v>
      </x:c>
      <x:c r="I2" s="51" t="str">
        <x:v>All chart series link to the formula-driven Curve Data sheet. Inspect Agent TPS together with total/background TPS, abort, P99, and token cost.</x:v>
      </x:c>
      <x:c r="J2" s="51" t="str">
        <x:v>All chart series link to the formula-driven Curve Data sheet. Inspect Agent TPS together with total/background TPS, abort, P99, and token cost.</x:v>
      </x:c>
      <x:c r="K2" s="51" t="str">
        <x:v>All chart series link to the formula-driven Curve Data sheet. Inspect Agent TPS together with total/background TPS, abort, P99, and token cost.</x:v>
      </x:c>
      <x:c r="L2" s="51" t="str">
        <x:v>All chart series link to the formula-driven Curve Data sheet. Inspect Agent TPS together with total/background TPS, abort, P99, and token cost.</x:v>
      </x:c>
      <x:c r="M2" s="51" t="str">
        <x:v>All chart series link to the formula-driven Curve Data sheet. Inspect Agent TPS together with total/background TPS, abort, P99, and token cost.</x:v>
      </x:c>
      <x:c r="N2" s="51" t="str">
        <x:v>All chart series link to the formula-driven Curve Data sheet. Inspect Agent TPS together with total/background TPS, abort, P99, and token cost.</x:v>
      </x:c>
      <x:c r="O2" s="51" t="str">
        <x:v>All chart series link to the formula-driven Curve Data sheet. Inspect Agent TPS together with total/background TPS, abort, P99, and token cost.</x:v>
      </x:c>
      <x:c r="P2" s="51" t="str">
        <x:v>All chart series link to the formula-driven Curve Data sheet. Inspect Agent TPS together with total/background TPS, abort, P99, and token cost.</x:v>
      </x:c>
      <x:c r="Q2" s="51" t="str">
        <x:v>All chart series link to the formula-driven Curve Data sheet. Inspect Agent TPS together with total/background TPS, abort, P99, and token cost.</x:v>
      </x:c>
      <x:c r="R2" s="51" t="str">
        <x:v>All chart series link to the formula-driven Curve Data sheet. Inspect Agent TPS together with total/background TPS, abort, P99, and token cost.</x:v>
      </x:c>
      <x:c r="S2" s="51" t="str">
        <x:v>All chart series link to the formula-driven Curve Data sheet. Inspect Agent TPS together with total/background TPS, abort, P99, and token cost.</x:v>
      </x:c>
      <x:c r="T2" s="51" t="str">
        <x:v>All chart series link to the formula-driven Curve Data sheet. Inspect Agent TPS together with total/background TPS, abort, P99, and token cost.</x:v>
      </x:c>
      <x:c r="U2" s="51" t="str">
        <x:v>All chart series link to the formula-driven Curve Data sheet. Inspect Agent TPS together with total/background TPS, abort, P99, and token cost.</x:v>
      </x:c>
      <x:c r="V2" s="51" t="str">
        <x:v>All chart series link to the formula-driven Curve Data sheet. Inspect Agent TPS together with total/background TPS, abort, P99, and token cost.</x:v>
      </x:c>
      <x:c r="W2" s="51" t="str">
        <x:v>All chart series link to the formula-driven Curve Data sheet. Inspect Agent TPS together with total/background TPS, abort, P99, and token cost.</x:v>
      </x:c>
    </x:row>
    <x:row r="4" ht="32" customHeight="1">
      <x:c r="A4" s="12" t="str">
        <x:v>Clients</x:v>
      </x:c>
      <x:c r="B4" s="13" t="str">
        <x:v>YCSB low</x:v>
      </x:c>
      <x:c r="C4" s="13" t="str">
        <x:v>YCSB medium</x:v>
      </x:c>
      <x:c r="D4" s="13" t="str">
        <x:v>YCSB high</x:v>
      </x:c>
    </x:row>
    <x:row r="5">
      <x:c r="A5" s="14" t="n">
        <x:v>8</x:v>
      </x:c>
      <x:c r="B5" s="18" t="n">
        <x:f>'Curve Data'!H2</x:f>
        <x:v>70.13333333</x:v>
      </x:c>
      <x:c r="C5" s="18" t="n">
        <x:f>'Curve Data'!H12</x:f>
        <x:v>69.46666667</x:v>
      </x:c>
      <x:c r="D5" s="91" t="n">
        <x:f>'Curve Data'!H22</x:f>
        <x:v>15.46666667</x:v>
      </x:c>
    </x:row>
    <x:row r="6">
      <x:c r="A6" s="14" t="n">
        <x:v>16</x:v>
      </x:c>
      <x:c r="B6" s="18" t="n">
        <x:f>'Curve Data'!H3</x:f>
        <x:v>136.6666667</x:v>
      </x:c>
      <x:c r="C6" s="18" t="n">
        <x:f>'Curve Data'!H13</x:f>
        <x:v>136.6666667</x:v>
      </x:c>
      <x:c r="D6" s="91" t="n">
        <x:f>'Curve Data'!H23</x:f>
        <x:v>25.86666667</x:v>
      </x:c>
    </x:row>
    <x:row r="7">
      <x:c r="A7" s="14" t="n">
        <x:v>24</x:v>
      </x:c>
      <x:c r="B7" s="18" t="n">
        <x:f>'Curve Data'!H4</x:f>
        <x:v>200.1333333</x:v>
      </x:c>
      <x:c r="C7" s="18" t="n">
        <x:f>'Curve Data'!H14</x:f>
        <x:v>198.5333333</x:v>
      </x:c>
      <x:c r="D7" s="91" t="n">
        <x:f>'Curve Data'!H24</x:f>
        <x:v>29.2</x:v>
      </x:c>
    </x:row>
    <x:row r="8">
      <x:c r="A8" s="14" t="n">
        <x:v>32</x:v>
      </x:c>
      <x:c r="B8" s="18" t="n">
        <x:f>'Curve Data'!H5</x:f>
        <x:v>253.3333333</x:v>
      </x:c>
      <x:c r="C8" s="18" t="n">
        <x:f>'Curve Data'!H15</x:f>
        <x:v>250.8</x:v>
      </x:c>
      <x:c r="D8" s="91" t="n">
        <x:f>'Curve Data'!H25</x:f>
        <x:v>31.86666667</x:v>
      </x:c>
    </x:row>
    <x:row r="9">
      <x:c r="A9" s="16" t="n">
        <x:v>40</x:v>
      </x:c>
      <x:c r="B9" s="19" t="n">
        <x:f>'Curve Data'!H6</x:f>
        <x:v>282.6666667</x:v>
      </x:c>
      <x:c r="C9" s="19" t="n">
        <x:f>'Curve Data'!H16</x:f>
        <x:v>289.4666667</x:v>
      </x:c>
      <x:c r="D9" s="92" t="n">
        <x:f>'Curve Data'!H26</x:f>
        <x:v>32</x:v>
      </x:c>
    </x:row>
    <x:row r="12" ht="32" customHeight="1">
      <x:c r="A12" s="12" t="str">
        <x:v>Clients</x:v>
      </x:c>
      <x:c r="B12" s="13" t="str">
        <x:v>YCSB low</x:v>
      </x:c>
      <x:c r="C12" s="13" t="str">
        <x:v>YCSB medium</x:v>
      </x:c>
      <x:c r="D12" s="13" t="str">
        <x:v>YCSB high</x:v>
      </x:c>
    </x:row>
    <x:row r="13">
      <x:c r="A13" s="14" t="n">
        <x:v>8</x:v>
      </x:c>
      <x:c r="B13" s="18" t="n">
        <x:f>'Curve Data'!M2</x:f>
        <x:v>70.13333333</x:v>
      </x:c>
      <x:c r="C13" s="18" t="n">
        <x:f>'Curve Data'!M12</x:f>
        <x:v>69.46666667</x:v>
      </x:c>
      <x:c r="D13" s="91" t="n">
        <x:f>'Curve Data'!M22</x:f>
        <x:v>15.46666667</x:v>
      </x:c>
    </x:row>
    <x:row r="14">
      <x:c r="A14" s="14" t="n">
        <x:v>16</x:v>
      </x:c>
      <x:c r="B14" s="18" t="n">
        <x:f>'Curve Data'!M3</x:f>
        <x:v>136.6666667</x:v>
      </x:c>
      <x:c r="C14" s="18" t="n">
        <x:f>'Curve Data'!M13</x:f>
        <x:v>136.6666667</x:v>
      </x:c>
      <x:c r="D14" s="91" t="n">
        <x:f>'Curve Data'!M23</x:f>
        <x:v>25.86666667</x:v>
      </x:c>
    </x:row>
    <x:row r="15">
      <x:c r="A15" s="14" t="n">
        <x:v>24</x:v>
      </x:c>
      <x:c r="B15" s="18" t="n">
        <x:f>'Curve Data'!M4</x:f>
        <x:v>200.1333333</x:v>
      </x:c>
      <x:c r="C15" s="18" t="n">
        <x:f>'Curve Data'!M14</x:f>
        <x:v>198.5333333</x:v>
      </x:c>
      <x:c r="D15" s="91" t="n">
        <x:f>'Curve Data'!M24</x:f>
        <x:v>29.2</x:v>
      </x:c>
    </x:row>
    <x:row r="16">
      <x:c r="A16" s="14" t="n">
        <x:v>32</x:v>
      </x:c>
      <x:c r="B16" s="18" t="n">
        <x:f>'Curve Data'!M5</x:f>
        <x:v>253.3333333</x:v>
      </x:c>
      <x:c r="C16" s="18" t="n">
        <x:f>'Curve Data'!M15</x:f>
        <x:v>250.8</x:v>
      </x:c>
      <x:c r="D16" s="91" t="n">
        <x:f>'Curve Data'!M25</x:f>
        <x:v>31.86666667</x:v>
      </x:c>
    </x:row>
    <x:row r="17">
      <x:c r="A17" s="16" t="n">
        <x:v>40</x:v>
      </x:c>
      <x:c r="B17" s="19" t="n">
        <x:f>'Curve Data'!M6</x:f>
        <x:v>282.6666667</x:v>
      </x:c>
      <x:c r="C17" s="19" t="n">
        <x:f>'Curve Data'!M16</x:f>
        <x:v>289.4666667</x:v>
      </x:c>
      <x:c r="D17" s="92" t="n">
        <x:f>'Curve Data'!M26</x:f>
        <x:v>32</x:v>
      </x:c>
    </x:row>
    <x:row r="20" ht="32" customHeight="1">
      <x:c r="A20" s="12" t="str">
        <x:v>Clients</x:v>
      </x:c>
      <x:c r="B20" s="13" t="str">
        <x:v>YCSB low</x:v>
      </x:c>
      <x:c r="C20" s="13" t="str">
        <x:v>YCSB medium</x:v>
      </x:c>
      <x:c r="D20" s="13" t="str">
        <x:v>YCSB high</x:v>
      </x:c>
    </x:row>
    <x:row r="21">
      <x:c r="A21" s="14" t="n">
        <x:v>8</x:v>
      </x:c>
      <x:c r="B21" s="18" t="n">
        <x:f>'Curve Data'!Q2</x:f>
        <x:v>0</x:v>
      </x:c>
      <x:c r="C21" s="18" t="n">
        <x:f>'Curve Data'!Q12</x:f>
        <x:v>0</x:v>
      </x:c>
      <x:c r="D21" s="91" t="n">
        <x:f>'Curve Data'!Q22</x:f>
        <x:v>0</x:v>
      </x:c>
    </x:row>
    <x:row r="22">
      <x:c r="A22" s="14" t="n">
        <x:v>16</x:v>
      </x:c>
      <x:c r="B22" s="18" t="n">
        <x:f>'Curve Data'!Q3</x:f>
        <x:v>0</x:v>
      </x:c>
      <x:c r="C22" s="18" t="n">
        <x:f>'Curve Data'!Q13</x:f>
        <x:v>0</x:v>
      </x:c>
      <x:c r="D22" s="91" t="n">
        <x:f>'Curve Data'!Q23</x:f>
        <x:v>0</x:v>
      </x:c>
    </x:row>
    <x:row r="23">
      <x:c r="A23" s="14" t="n">
        <x:v>24</x:v>
      </x:c>
      <x:c r="B23" s="18" t="n">
        <x:f>'Curve Data'!Q4</x:f>
        <x:v>0</x:v>
      </x:c>
      <x:c r="C23" s="18" t="n">
        <x:f>'Curve Data'!Q14</x:f>
        <x:v>0</x:v>
      </x:c>
      <x:c r="D23" s="91" t="n">
        <x:f>'Curve Data'!Q24</x:f>
        <x:v>0</x:v>
      </x:c>
    </x:row>
    <x:row r="24">
      <x:c r="A24" s="14" t="n">
        <x:v>32</x:v>
      </x:c>
      <x:c r="B24" s="18" t="n">
        <x:f>'Curve Data'!Q5</x:f>
        <x:v>0</x:v>
      </x:c>
      <x:c r="C24" s="18" t="n">
        <x:f>'Curve Data'!Q15</x:f>
        <x:v>0</x:v>
      </x:c>
      <x:c r="D24" s="91" t="n">
        <x:f>'Curve Data'!Q25</x:f>
        <x:v>0</x:v>
      </x:c>
    </x:row>
    <x:row r="25">
      <x:c r="A25" s="16" t="n">
        <x:v>40</x:v>
      </x:c>
      <x:c r="B25" s="19" t="n">
        <x:f>'Curve Data'!Q6</x:f>
        <x:v>0</x:v>
      </x:c>
      <x:c r="C25" s="19" t="n">
        <x:f>'Curve Data'!Q16</x:f>
        <x:v>0</x:v>
      </x:c>
      <x:c r="D25" s="92" t="n">
        <x:f>'Curve Data'!Q26</x:f>
        <x:v>0</x:v>
      </x:c>
    </x:row>
    <x:row r="28" ht="32" customHeight="1">
      <x:c r="A28" s="12" t="str">
        <x:v>Clients</x:v>
      </x:c>
      <x:c r="B28" s="13" t="str">
        <x:v>YCSB low</x:v>
      </x:c>
      <x:c r="C28" s="13" t="str">
        <x:v>YCSB medium</x:v>
      </x:c>
      <x:c r="D28" s="13" t="str">
        <x:v>YCSB high</x:v>
      </x:c>
    </x:row>
    <x:row r="29">
      <x:c r="A29" s="14" t="n">
        <x:v>8</x:v>
      </x:c>
      <x:c r="B29" s="24" t="n">
        <x:f>'Curve Data'!L2</x:f>
        <x:v>1</x:v>
      </x:c>
      <x:c r="C29" s="24" t="n">
        <x:f>'Curve Data'!L12</x:f>
        <x:v>0.9923809524285714</x:v>
      </x:c>
      <x:c r="D29" s="93" t="n">
        <x:f>'Curve Data'!L22</x:f>
        <x:v>0.9206349208333333</x:v>
      </x:c>
    </x:row>
    <x:row r="30">
      <x:c r="A30" s="14" t="n">
        <x:v>16</x:v>
      </x:c>
      <x:c r="B30" s="24" t="n">
        <x:f>'Curve Data'!L3</x:f>
        <x:v>0.9970817120629665</x:v>
      </x:c>
      <x:c r="C30" s="24" t="n">
        <x:f>'Curve Data'!L13</x:f>
        <x:v>0.9846301635446686</x:v>
      </x:c>
      <x:c r="D30" s="93" t="n">
        <x:f>'Curve Data'!L23</x:f>
        <x:v>1.2763157894282375</x:v>
      </x:c>
    </x:row>
    <x:row r="31">
      <x:c r="A31" s="14" t="n">
        <x:v>24</x:v>
      </x:c>
      <x:c r="B31" s="24" t="n">
        <x:f>'Curve Data'!L4</x:f>
        <x:v>0.9894528671737882</x:v>
      </x:c>
      <x:c r="C31" s="24" t="n">
        <x:f>'Curve Data'!L14</x:f>
        <x:v>0.990026595743023</x:v>
      </x:c>
      <x:c r="D31" s="93" t="n">
        <x:f>'Curve Data'!L24</x:f>
        <x:v>1.223463686979963</x:v>
      </x:c>
    </x:row>
    <x:row r="32">
      <x:c r="A32" s="14" t="n">
        <x:v>32</x:v>
      </x:c>
      <x:c r="B32" s="24" t="n">
        <x:f>'Curve Data'!L5</x:f>
        <x:v>0.9819121445736434</x:v>
      </x:c>
      <x:c r="C32" s="24" t="n">
        <x:f>'Curve Data'!L15</x:f>
        <x:v>0.9485627836611197</x:v>
      </x:c>
      <x:c r="D32" s="93" t="n">
        <x:f>'Curve Data'!L25</x:f>
        <x:v>1.2131979695160917</x:v>
      </x:c>
    </x:row>
    <x:row r="33">
      <x:c r="A33" s="16" t="n">
        <x:v>40</x:v>
      </x:c>
      <x:c r="B33" s="25" t="n">
        <x:f>'Curve Data'!L6</x:f>
        <x:v>0.979214780602862</x:v>
      </x:c>
      <x:c r="C33" s="25" t="n">
        <x:f>'Curve Data'!L16</x:f>
        <x:v>0.9823529411784669</x:v>
      </x:c>
      <x:c r="D33" s="94" t="n">
        <x:f>'Curve Data'!L26</x:f>
        <x:v>1.0859728505558854</x:v>
      </x:c>
    </x:row>
    <x:row r="36" ht="32" customHeight="1">
      <x:c r="A36" s="12" t="str">
        <x:v>Clients</x:v>
      </x:c>
      <x:c r="B36" s="13" t="str">
        <x:v>YCSB low</x:v>
      </x:c>
      <x:c r="C36" s="13" t="str">
        <x:v>YCSB medium</x:v>
      </x:c>
      <x:c r="D36" s="13" t="str">
        <x:v>YCSB high</x:v>
      </x:c>
    </x:row>
    <x:row r="37">
      <x:c r="A37" s="14" t="n">
        <x:v>8</x:v>
      </x:c>
      <x:c r="B37" s="22" t="n">
        <x:f>'Curve Data'!U2</x:f>
        <x:v>0</x:v>
      </x:c>
      <x:c r="C37" s="22" t="n">
        <x:f>'Curve Data'!U12</x:f>
        <x:v>0.001984126984</x:v>
      </x:c>
      <x:c r="D37" s="95" t="n">
        <x:f>'Curve Data'!U22</x:f>
        <x:v>0.175955491</x:v>
      </x:c>
    </x:row>
    <x:row r="38">
      <x:c r="A38" s="14" t="n">
        <x:v>16</x:v>
      </x:c>
      <x:c r="B38" s="22" t="n">
        <x:f>'Curve Data'!U3</x:f>
        <x:v>0</x:v>
      </x:c>
      <x:c r="C38" s="22" t="n">
        <x:f>'Curve Data'!U13</x:f>
        <x:v>0.004673326853</x:v>
      </x:c>
      <x:c r="D38" s="95" t="n">
        <x:f>'Curve Data'!U23</x:f>
        <x:v>0.1843382808</x:v>
      </x:c>
    </x:row>
    <x:row r="39">
      <x:c r="A39" s="14" t="n">
        <x:v>24</x:v>
      </x:c>
      <x:c r="B39" s="22" t="n">
        <x:f>'Curve Data'!U4</x:f>
        <x:v>0</x:v>
      </x:c>
      <x:c r="C39" s="22" t="n">
        <x:f>'Curve Data'!U14</x:f>
        <x:v>0.003242736271</x:v>
      </x:c>
      <x:c r="D39" s="95" t="n">
        <x:f>'Curve Data'!U24</x:f>
        <x:v>0.2458170656</x:v>
      </x:c>
    </x:row>
    <x:row r="40">
      <x:c r="A40" s="14" t="n">
        <x:v>32</x:v>
      </x:c>
      <x:c r="B40" s="22" t="n">
        <x:f>'Curve Data'!U5</x:f>
        <x:v>0</x:v>
      </x:c>
      <x:c r="C40" s="22" t="n">
        <x:f>'Curve Data'!U15</x:f>
        <x:v>0.005997088692</x:v>
      </x:c>
      <x:c r="D40" s="95" t="n">
        <x:f>'Curve Data'!U25</x:f>
        <x:v>0.2916659945</x:v>
      </x:c>
    </x:row>
    <x:row r="41">
      <x:c r="A41" s="16" t="n">
        <x:v>40</x:v>
      </x:c>
      <x:c r="B41" s="23" t="n">
        <x:f>'Curve Data'!U6</x:f>
        <x:v>0</x:v>
      </x:c>
      <x:c r="C41" s="23" t="n">
        <x:f>'Curve Data'!U16</x:f>
        <x:v>0.006969005724</x:v>
      </x:c>
      <x:c r="D41" s="96" t="n">
        <x:f>'Curve Data'!U26</x:f>
        <x:v>0.3076869194</x:v>
      </x:c>
    </x:row>
    <x:row r="44" ht="32" customHeight="1">
      <x:c r="A44" s="12" t="str">
        <x:v>Clients</x:v>
      </x:c>
      <x:c r="B44" s="13" t="str">
        <x:v>YCSB low</x:v>
      </x:c>
      <x:c r="C44" s="13" t="str">
        <x:v>YCSB medium</x:v>
      </x:c>
      <x:c r="D44" s="13" t="str">
        <x:v>YCSB high</x:v>
      </x:c>
    </x:row>
    <x:row r="45">
      <x:c r="A45" s="14" t="n">
        <x:v>8</x:v>
      </x:c>
      <x:c r="B45" s="98" t="n">
        <x:f>'Curve Data'!X2</x:f>
        <x:v>150.4647875</x:v>
      </x:c>
      <x:c r="C45" s="98" t="n">
        <x:f>'Curve Data'!X12</x:f>
        <x:v>155.2498388</x:v>
      </x:c>
      <x:c r="D45" s="99" t="n">
        <x:f>'Curve Data'!X22</x:f>
        <x:v>4949.181798</x:v>
      </x:c>
    </x:row>
    <x:row r="46">
      <x:c r="A46" s="14" t="n">
        <x:v>16</x:v>
      </x:c>
      <x:c r="B46" s="98" t="n">
        <x:f>'Curve Data'!X3</x:f>
        <x:v>151.435581</x:v>
      </x:c>
      <x:c r="C46" s="98" t="n">
        <x:f>'Curve Data'!X13</x:f>
        <x:v>165.6344592</x:v>
      </x:c>
      <x:c r="D46" s="99" t="n">
        <x:f>'Curve Data'!X23</x:f>
        <x:v>4651.431255</x:v>
      </x:c>
    </x:row>
    <x:row r="47">
      <x:c r="A47" s="14" t="n">
        <x:v>24</x:v>
      </x:c>
      <x:c r="B47" s="98" t="n">
        <x:f>'Curve Data'!X4</x:f>
        <x:v>153.605126</x:v>
      </x:c>
      <x:c r="C47" s="98" t="n">
        <x:f>'Curve Data'!X14</x:f>
        <x:v>161.5769083</x:v>
      </x:c>
      <x:c r="D47" s="99" t="n">
        <x:f>'Curve Data'!X24</x:f>
        <x:v>5294.847052</x:v>
      </x:c>
    </x:row>
    <x:row r="48">
      <x:c r="A48" s="14" t="n">
        <x:v>32</x:v>
      </x:c>
      <x:c r="B48" s="98" t="n">
        <x:f>'Curve Data'!X5</x:f>
        <x:v>165.9408166</x:v>
      </x:c>
      <x:c r="C48" s="98" t="n">
        <x:f>'Curve Data'!X15</x:f>
        <x:v>170.7775706</x:v>
      </x:c>
      <x:c r="D48" s="99" t="n">
        <x:f>'Curve Data'!X25</x:f>
        <x:v>6927.075003</x:v>
      </x:c>
    </x:row>
    <x:row r="49">
      <x:c r="A49" s="16" t="n">
        <x:v>40</x:v>
      </x:c>
      <x:c r="B49" s="100" t="n">
        <x:f>'Curve Data'!X6</x:f>
        <x:v>190.4364324</x:v>
      </x:c>
      <x:c r="C49" s="100" t="n">
        <x:f>'Curve Data'!X16</x:f>
        <x:v>187.1346168</x:v>
      </x:c>
      <x:c r="D49" s="101" t="n">
        <x:f>'Curve Data'!X26</x:f>
        <x:v>7546.276557</x:v>
      </x:c>
    </x:row>
    <x:row r="52" ht="32" customHeight="1">
      <x:c r="A52" s="12" t="str">
        <x:v>Clients</x:v>
      </x:c>
      <x:c r="B52" s="13" t="str">
        <x:v>YCSB low</x:v>
      </x:c>
      <x:c r="C52" s="13" t="str">
        <x:v>YCSB medium</x:v>
      </x:c>
      <x:c r="D52" s="13" t="str">
        <x:v>YCSB high</x:v>
      </x:c>
    </x:row>
    <x:row r="53">
      <x:c r="A53" s="14" t="n">
        <x:v>8</x:v>
      </x:c>
      <x:c r="B53" s="103" t="n">
        <x:f>'Curve Data'!AA2</x:f>
        <x:v>27030</x:v>
      </x:c>
      <x:c r="C53" s="103" t="n">
        <x:f>'Curve Data'!AA12</x:f>
        <x:v>27083.9521</x:v>
      </x:c>
      <x:c r="D53" s="104" t="n">
        <x:f>'Curve Data'!AA22</x:f>
        <x:v>32817.01587</x:v>
      </x:c>
    </x:row>
    <x:row r="54">
      <x:c r="A54" s="14" t="n">
        <x:v>16</x:v>
      </x:c>
      <x:c r="B54" s="103" t="n">
        <x:f>'Curve Data'!AA3</x:f>
        <x:v>27030</x:v>
      </x:c>
      <x:c r="C54" s="103" t="n">
        <x:f>'Curve Data'!AA13</x:f>
        <x:v>27156.96711</x:v>
      </x:c>
      <x:c r="D54" s="104" t="n">
        <x:f>'Curve Data'!AA23</x:f>
        <x:v>33164.82823</x:v>
      </x:c>
    </x:row>
    <x:row r="55">
      <x:c r="A55" s="14" t="n">
        <x:v>24</x:v>
      </x:c>
      <x:c r="B55" s="103" t="n">
        <x:f>'Curve Data'!AA4</x:f>
        <x:v>27030</x:v>
      </x:c>
      <x:c r="C55" s="103" t="n">
        <x:f>'Curve Data'!AA14</x:f>
        <x:v>27118.23855</x:v>
      </x:c>
      <x:c r="D55" s="104" t="n">
        <x:f>'Curve Data'!AA24</x:f>
        <x:v>35843.08739</x:v>
      </x:c>
    </x:row>
    <x:row r="56">
      <x:c r="A56" s="14" t="n">
        <x:v>32</x:v>
      </x:c>
      <x:c r="B56" s="103" t="n">
        <x:f>'Curve Data'!AA5</x:f>
        <x:v>27030</x:v>
      </x:c>
      <x:c r="C56" s="103" t="n">
        <x:f>'Curve Data'!AA15</x:f>
        <x:v>27193.18942</x:v>
      </x:c>
      <x:c r="D56" s="104" t="n">
        <x:f>'Curve Data'!AA25</x:f>
        <x:v>38178.30733</x:v>
      </x:c>
    </x:row>
    <x:row r="57">
      <x:c r="A57" s="16" t="n">
        <x:v>40</x:v>
      </x:c>
      <x:c r="B57" s="105" t="n">
        <x:f>'Curve Data'!AA6</x:f>
        <x:v>27030</x:v>
      </x:c>
      <x:c r="C57" s="105" t="n">
        <x:f>'Curve Data'!AA16</x:f>
        <x:v>27219.74467</x:v>
      </x:c>
      <x:c r="D57" s="106" t="n">
        <x:f>'Curve Data'!AA26</x:f>
        <x:v>39043.04072</x:v>
      </x:c>
    </x:row>
  </x:sheetData>
  <x:mergeCells>
    <x:mergeCell ref="A1:W1"/>
    <x:mergeCell ref="A2:W2"/>
  </x:mergeCells>
  <x:pageMargins left="0.7" right="0.7" top="0.75" bottom="0.75" header="0.3" footer="0.3"/>
  <x:drawing xmlns:r="http://schemas.openxmlformats.org/officeDocument/2006/relationships" r:id="Ra4069dd85cdc4fe0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30" customHeight="1">
      <x:c r="A1" s="48" t="str">
        <x:v>YCSB curves - Agent ratio 0.8</x:v>
      </x:c>
      <x:c r="B1" s="48" t="str">
        <x:v>YCSB curves - Agent ratio 0.8</x:v>
      </x:c>
      <x:c r="C1" s="48" t="str">
        <x:v>YCSB curves - Agent ratio 0.8</x:v>
      </x:c>
      <x:c r="D1" s="48" t="str">
        <x:v>YCSB curves - Agent ratio 0.8</x:v>
      </x:c>
      <x:c r="E1" s="48" t="str">
        <x:v>YCSB curves - Agent ratio 0.8</x:v>
      </x:c>
      <x:c r="F1" s="48" t="str">
        <x:v>YCSB curves - Agent ratio 0.8</x:v>
      </x:c>
      <x:c r="G1" s="48" t="str">
        <x:v>YCSB curves - Agent ratio 0.8</x:v>
      </x:c>
      <x:c r="H1" s="48" t="str">
        <x:v>YCSB curves - Agent ratio 0.8</x:v>
      </x:c>
      <x:c r="I1" s="48" t="str">
        <x:v>YCSB curves - Agent ratio 0.8</x:v>
      </x:c>
      <x:c r="J1" s="48" t="str">
        <x:v>YCSB curves - Agent ratio 0.8</x:v>
      </x:c>
      <x:c r="K1" s="48" t="str">
        <x:v>YCSB curves - Agent ratio 0.8</x:v>
      </x:c>
      <x:c r="L1" s="48" t="str">
        <x:v>YCSB curves - Agent ratio 0.8</x:v>
      </x:c>
      <x:c r="M1" s="48" t="str">
        <x:v>YCSB curves - Agent ratio 0.8</x:v>
      </x:c>
      <x:c r="N1" s="48" t="str">
        <x:v>YCSB curves - Agent ratio 0.8</x:v>
      </x:c>
      <x:c r="O1" s="48" t="str">
        <x:v>YCSB curves - Agent ratio 0.8</x:v>
      </x:c>
      <x:c r="P1" s="48" t="str">
        <x:v>YCSB curves - Agent ratio 0.8</x:v>
      </x:c>
      <x:c r="Q1" s="48" t="str">
        <x:v>YCSB curves - Agent ratio 0.8</x:v>
      </x:c>
      <x:c r="R1" s="48" t="str">
        <x:v>YCSB curves - Agent ratio 0.8</x:v>
      </x:c>
      <x:c r="S1" s="48" t="str">
        <x:v>YCSB curves - Agent ratio 0.8</x:v>
      </x:c>
      <x:c r="T1" s="48" t="str">
        <x:v>YCSB curves - Agent ratio 0.8</x:v>
      </x:c>
      <x:c r="U1" s="48" t="str">
        <x:v>YCSB curves - Agent ratio 0.8</x:v>
      </x:c>
      <x:c r="V1" s="48" t="str">
        <x:v>YCSB curves - Agent ratio 0.8</x:v>
      </x:c>
      <x:c r="W1" s="48" t="str">
        <x:v>YCSB curves - Agent ratio 0.8</x:v>
      </x:c>
    </x:row>
    <x:row r="2" ht="32" customHeight="1">
      <x:c r="A2" s="51" t="str">
        <x:v>All chart series link to the formula-driven Curve Data sheet. Inspect Agent TPS together with total/background TPS, abort, P99, and token cost.</x:v>
      </x:c>
      <x:c r="B2" s="51" t="str">
        <x:v>All chart series link to the formula-driven Curve Data sheet. Inspect Agent TPS together with total/background TPS, abort, P99, and token cost.</x:v>
      </x:c>
      <x:c r="C2" s="51" t="str">
        <x:v>All chart series link to the formula-driven Curve Data sheet. Inspect Agent TPS together with total/background TPS, abort, P99, and token cost.</x:v>
      </x:c>
      <x:c r="D2" s="51" t="str">
        <x:v>All chart series link to the formula-driven Curve Data sheet. Inspect Agent TPS together with total/background TPS, abort, P99, and token cost.</x:v>
      </x:c>
      <x:c r="E2" s="51" t="str">
        <x:v>All chart series link to the formula-driven Curve Data sheet. Inspect Agent TPS together with total/background TPS, abort, P99, and token cost.</x:v>
      </x:c>
      <x:c r="F2" s="51" t="str">
        <x:v>All chart series link to the formula-driven Curve Data sheet. Inspect Agent TPS together with total/background TPS, abort, P99, and token cost.</x:v>
      </x:c>
      <x:c r="G2" s="51" t="str">
        <x:v>All chart series link to the formula-driven Curve Data sheet. Inspect Agent TPS together with total/background TPS, abort, P99, and token cost.</x:v>
      </x:c>
      <x:c r="H2" s="51" t="str">
        <x:v>All chart series link to the formula-driven Curve Data sheet. Inspect Agent TPS together with total/background TPS, abort, P99, and token cost.</x:v>
      </x:c>
      <x:c r="I2" s="51" t="str">
        <x:v>All chart series link to the formula-driven Curve Data sheet. Inspect Agent TPS together with total/background TPS, abort, P99, and token cost.</x:v>
      </x:c>
      <x:c r="J2" s="51" t="str">
        <x:v>All chart series link to the formula-driven Curve Data sheet. Inspect Agent TPS together with total/background TPS, abort, P99, and token cost.</x:v>
      </x:c>
      <x:c r="K2" s="51" t="str">
        <x:v>All chart series link to the formula-driven Curve Data sheet. Inspect Agent TPS together with total/background TPS, abort, P99, and token cost.</x:v>
      </x:c>
      <x:c r="L2" s="51" t="str">
        <x:v>All chart series link to the formula-driven Curve Data sheet. Inspect Agent TPS together with total/background TPS, abort, P99, and token cost.</x:v>
      </x:c>
      <x:c r="M2" s="51" t="str">
        <x:v>All chart series link to the formula-driven Curve Data sheet. Inspect Agent TPS together with total/background TPS, abort, P99, and token cost.</x:v>
      </x:c>
      <x:c r="N2" s="51" t="str">
        <x:v>All chart series link to the formula-driven Curve Data sheet. Inspect Agent TPS together with total/background TPS, abort, P99, and token cost.</x:v>
      </x:c>
      <x:c r="O2" s="51" t="str">
        <x:v>All chart series link to the formula-driven Curve Data sheet. Inspect Agent TPS together with total/background TPS, abort, P99, and token cost.</x:v>
      </x:c>
      <x:c r="P2" s="51" t="str">
        <x:v>All chart series link to the formula-driven Curve Data sheet. Inspect Agent TPS together with total/background TPS, abort, P99, and token cost.</x:v>
      </x:c>
      <x:c r="Q2" s="51" t="str">
        <x:v>All chart series link to the formula-driven Curve Data sheet. Inspect Agent TPS together with total/background TPS, abort, P99, and token cost.</x:v>
      </x:c>
      <x:c r="R2" s="51" t="str">
        <x:v>All chart series link to the formula-driven Curve Data sheet. Inspect Agent TPS together with total/background TPS, abort, P99, and token cost.</x:v>
      </x:c>
      <x:c r="S2" s="51" t="str">
        <x:v>All chart series link to the formula-driven Curve Data sheet. Inspect Agent TPS together with total/background TPS, abort, P99, and token cost.</x:v>
      </x:c>
      <x:c r="T2" s="51" t="str">
        <x:v>All chart series link to the formula-driven Curve Data sheet. Inspect Agent TPS together with total/background TPS, abort, P99, and token cost.</x:v>
      </x:c>
      <x:c r="U2" s="51" t="str">
        <x:v>All chart series link to the formula-driven Curve Data sheet. Inspect Agent TPS together with total/background TPS, abort, P99, and token cost.</x:v>
      </x:c>
      <x:c r="V2" s="51" t="str">
        <x:v>All chart series link to the formula-driven Curve Data sheet. Inspect Agent TPS together with total/background TPS, abort, P99, and token cost.</x:v>
      </x:c>
      <x:c r="W2" s="51" t="str">
        <x:v>All chart series link to the formula-driven Curve Data sheet. Inspect Agent TPS together with total/background TPS, abort, P99, and token cost.</x:v>
      </x:c>
    </x:row>
    <x:row r="4" ht="32" customHeight="1">
      <x:c r="A4" s="12" t="str">
        <x:v>Clients</x:v>
      </x:c>
      <x:c r="B4" s="13" t="str">
        <x:v>YCSB low</x:v>
      </x:c>
      <x:c r="C4" s="13" t="str">
        <x:v>YCSB medium</x:v>
      </x:c>
      <x:c r="D4" s="13" t="str">
        <x:v>YCSB high</x:v>
      </x:c>
    </x:row>
    <x:row r="5">
      <x:c r="A5" s="14" t="n">
        <x:v>8</x:v>
      </x:c>
      <x:c r="B5" s="18" t="n">
        <x:f>'Curve Data'!H7</x:f>
        <x:v>52.4</x:v>
      </x:c>
      <x:c r="C5" s="18" t="n">
        <x:f>'Curve Data'!H17</x:f>
        <x:v>39.33333333</x:v>
      </x:c>
      <x:c r="D5" s="91" t="n">
        <x:f>'Curve Data'!H27</x:f>
        <x:v>10.53333333</x:v>
      </x:c>
    </x:row>
    <x:row r="6">
      <x:c r="A6" s="14" t="n">
        <x:v>16</x:v>
      </x:c>
      <x:c r="B6" s="18" t="n">
        <x:f>'Curve Data'!H8</x:f>
        <x:v>103.3333333</x:v>
      </x:c>
      <x:c r="C6" s="18" t="n">
        <x:f>'Curve Data'!H18</x:f>
        <x:v>71.46666667</x:v>
      </x:c>
      <x:c r="D6" s="91" t="n">
        <x:f>'Curve Data'!H28</x:f>
        <x:v>19.06666667</x:v>
      </x:c>
    </x:row>
    <x:row r="7">
      <x:c r="A7" s="14" t="n">
        <x:v>24</x:v>
      </x:c>
      <x:c r="B7" s="18" t="n">
        <x:f>'Curve Data'!H9</x:f>
        <x:v>134.1333333</x:v>
      </x:c>
      <x:c r="C7" s="18" t="n">
        <x:f>'Curve Data'!H19</x:f>
        <x:v>96</x:v>
      </x:c>
      <x:c r="D7" s="91" t="n">
        <x:f>'Curve Data'!H29</x:f>
        <x:v>18</x:v>
      </x:c>
    </x:row>
    <x:row r="8">
      <x:c r="A8" s="14" t="n">
        <x:v>32</x:v>
      </x:c>
      <x:c r="B8" s="18" t="n">
        <x:f>'Curve Data'!H10</x:f>
        <x:v>162.6666667</x:v>
      </x:c>
      <x:c r="C8" s="18" t="n">
        <x:f>'Curve Data'!H20</x:f>
        <x:v>110.8</x:v>
      </x:c>
      <x:c r="D8" s="91" t="n">
        <x:f>'Curve Data'!H30</x:f>
        <x:v>35</x:v>
      </x:c>
    </x:row>
    <x:row r="9">
      <x:c r="A9" s="16" t="n">
        <x:v>40</x:v>
      </x:c>
      <x:c r="B9" s="19" t="n">
        <x:f>'Curve Data'!H11</x:f>
        <x:v>180.4</x:v>
      </x:c>
      <x:c r="C9" s="19" t="n">
        <x:f>'Curve Data'!H21</x:f>
        <x:v>109.3333333</x:v>
      </x:c>
      <x:c r="D9" s="92" t="n">
        <x:f>'Curve Data'!H31</x:f>
        <x:v>40</x:v>
      </x:c>
    </x:row>
    <x:row r="12" ht="32" customHeight="1">
      <x:c r="A12" s="12" t="str">
        <x:v>Clients</x:v>
      </x:c>
      <x:c r="B12" s="13" t="str">
        <x:v>YCSB low</x:v>
      </x:c>
      <x:c r="C12" s="13" t="str">
        <x:v>YCSB medium</x:v>
      </x:c>
      <x:c r="D12" s="13" t="str">
        <x:v>YCSB high</x:v>
      </x:c>
    </x:row>
    <x:row r="13">
      <x:c r="A13" s="14" t="n">
        <x:v>8</x:v>
      </x:c>
      <x:c r="B13" s="18" t="n">
        <x:f>'Curve Data'!M7</x:f>
        <x:v>3361.6</x:v>
      </x:c>
      <x:c r="C13" s="18" t="n">
        <x:f>'Curve Data'!M17</x:f>
        <x:v>1636.133333</x:v>
      </x:c>
      <x:c r="D13" s="91" t="n">
        <x:f>'Curve Data'!M27</x:f>
        <x:v>757.0666667</x:v>
      </x:c>
    </x:row>
    <x:row r="14">
      <x:c r="A14" s="14" t="n">
        <x:v>16</x:v>
      </x:c>
      <x:c r="B14" s="18" t="n">
        <x:f>'Curve Data'!M8</x:f>
        <x:v>1564.8</x:v>
      </x:c>
      <x:c r="C14" s="18" t="n">
        <x:f>'Curve Data'!M18</x:f>
        <x:v>957.2</x:v>
      </x:c>
      <x:c r="D14" s="91" t="n">
        <x:f>'Curve Data'!M28</x:f>
        <x:v>416.4</x:v>
      </x:c>
    </x:row>
    <x:row r="15">
      <x:c r="A15" s="14" t="n">
        <x:v>24</x:v>
      </x:c>
      <x:c r="B15" s="18" t="n">
        <x:f>'Curve Data'!M9</x:f>
        <x:v>1182.666667</x:v>
      </x:c>
      <x:c r="C15" s="18" t="n">
        <x:f>'Curve Data'!M19</x:f>
        <x:v>677.4666667</x:v>
      </x:c>
      <x:c r="D15" s="91" t="n">
        <x:f>'Curve Data'!M29</x:f>
        <x:v>524.4</x:v>
      </x:c>
    </x:row>
    <x:row r="16">
      <x:c r="A16" s="14" t="n">
        <x:v>32</x:v>
      </x:c>
      <x:c r="B16" s="18" t="n">
        <x:f>'Curve Data'!M10</x:f>
        <x:v>931.4666667</x:v>
      </x:c>
      <x:c r="C16" s="18" t="n">
        <x:f>'Curve Data'!M20</x:f>
        <x:v>395.8666667</x:v>
      </x:c>
      <x:c r="D16" s="91" t="n">
        <x:f>'Curve Data'!M30</x:f>
        <x:v>90</x:v>
      </x:c>
    </x:row>
    <x:row r="17">
      <x:c r="A17" s="16" t="n">
        <x:v>40</x:v>
      </x:c>
      <x:c r="B17" s="19" t="n">
        <x:f>'Curve Data'!M11</x:f>
        <x:v>801.8666667</x:v>
      </x:c>
      <x:c r="C17" s="19" t="n">
        <x:f>'Curve Data'!M21</x:f>
        <x:v>367.4666667</x:v>
      </x:c>
      <x:c r="D17" s="92" t="n">
        <x:f>'Curve Data'!M31</x:f>
        <x:v>75</x:v>
      </x:c>
    </x:row>
    <x:row r="20" ht="32" customHeight="1">
      <x:c r="A20" s="12" t="str">
        <x:v>Clients</x:v>
      </x:c>
      <x:c r="B20" s="13" t="str">
        <x:v>YCSB low</x:v>
      </x:c>
      <x:c r="C20" s="13" t="str">
        <x:v>YCSB medium</x:v>
      </x:c>
      <x:c r="D20" s="13" t="str">
        <x:v>YCSB high</x:v>
      </x:c>
    </x:row>
    <x:row r="21">
      <x:c r="A21" s="14" t="n">
        <x:v>8</x:v>
      </x:c>
      <x:c r="B21" s="18" t="n">
        <x:f>'Curve Data'!Q7</x:f>
        <x:v>3309.2</x:v>
      </x:c>
      <x:c r="C21" s="18" t="n">
        <x:f>'Curve Data'!Q17</x:f>
        <x:v>1596.8</x:v>
      </x:c>
      <x:c r="D21" s="91" t="n">
        <x:f>'Curve Data'!Q27</x:f>
        <x:v>746.5333333</x:v>
      </x:c>
    </x:row>
    <x:row r="22">
      <x:c r="A22" s="14" t="n">
        <x:v>16</x:v>
      </x:c>
      <x:c r="B22" s="18" t="n">
        <x:f>'Curve Data'!Q8</x:f>
        <x:v>1461.466667</x:v>
      </x:c>
      <x:c r="C22" s="18" t="n">
        <x:f>'Curve Data'!Q18</x:f>
        <x:v>885.7333333</x:v>
      </x:c>
      <x:c r="D22" s="91" t="n">
        <x:f>'Curve Data'!Q28</x:f>
        <x:v>397.3333333</x:v>
      </x:c>
    </x:row>
    <x:row r="23">
      <x:c r="A23" s="14" t="n">
        <x:v>24</x:v>
      </x:c>
      <x:c r="B23" s="18" t="n">
        <x:f>'Curve Data'!Q9</x:f>
        <x:v>1048.533333</x:v>
      </x:c>
      <x:c r="C23" s="18" t="n">
        <x:f>'Curve Data'!Q19</x:f>
        <x:v>581.4666667</x:v>
      </x:c>
      <x:c r="D23" s="91" t="n">
        <x:f>'Curve Data'!Q29</x:f>
        <x:v>506.4</x:v>
      </x:c>
    </x:row>
    <x:row r="24">
      <x:c r="A24" s="14" t="n">
        <x:v>32</x:v>
      </x:c>
      <x:c r="B24" s="18" t="n">
        <x:f>'Curve Data'!Q10</x:f>
        <x:v>768.8</x:v>
      </x:c>
      <x:c r="C24" s="18" t="n">
        <x:f>'Curve Data'!Q20</x:f>
        <x:v>285.0666667</x:v>
      </x:c>
      <x:c r="D24" s="91" t="n">
        <x:f>'Curve Data'!Q30</x:f>
        <x:v>55</x:v>
      </x:c>
    </x:row>
    <x:row r="25">
      <x:c r="A25" s="16" t="n">
        <x:v>40</x:v>
      </x:c>
      <x:c r="B25" s="19" t="n">
        <x:f>'Curve Data'!Q11</x:f>
        <x:v>621.4666667</x:v>
      </x:c>
      <x:c r="C25" s="19" t="n">
        <x:f>'Curve Data'!Q21</x:f>
        <x:v>258.1333333</x:v>
      </x:c>
      <x:c r="D25" s="92" t="n">
        <x:f>'Curve Data'!Q31</x:f>
        <x:v>35</x:v>
      </x:c>
    </x:row>
    <x:row r="28" ht="32" customHeight="1">
      <x:c r="A28" s="12" t="str">
        <x:v>Clients</x:v>
      </x:c>
      <x:c r="B28" s="13" t="str">
        <x:v>YCSB low</x:v>
      </x:c>
      <x:c r="C28" s="13" t="str">
        <x:v>YCSB medium</x:v>
      </x:c>
      <x:c r="D28" s="13" t="str">
        <x:v>YCSB high</x:v>
      </x:c>
    </x:row>
    <x:row r="29">
      <x:c r="A29" s="14" t="n">
        <x:v>8</x:v>
      </x:c>
      <x:c r="B29" s="24" t="n">
        <x:f>'Curve Data'!L7</x:f>
        <x:v>1.7312775328489782</x:v>
      </x:c>
      <x:c r="C29" s="24" t="n">
        <x:f>'Curve Data'!L17</x:f>
        <x:v>1.9155844157330495</x:v>
      </x:c>
      <x:c r="D29" s="93" t="n">
        <x:f>'Curve Data'!L27</x:f>
        <x:v>26.333333324999998</x:v>
      </x:c>
    </x:row>
    <x:row r="30">
      <x:c r="A30" s="14" t="n">
        <x:v>16</x:v>
      </x:c>
      <x:c r="B30" s="24" t="n">
        <x:f>'Curve Data'!L8</x:f>
        <x:v>1.1868300148856497</x:v>
      </x:c>
      <x:c r="C30" s="24" t="n">
        <x:f>'Curve Data'!L18</x:f>
        <x:v>0.9588550984775873</x:v>
      </x:c>
      <x:c r="D30" s="93" t="n">
        <x:f>'Curve Data'!L28</x:f>
        <x:v>28.600000003570003</x:v>
      </x:c>
    </x:row>
    <x:row r="31">
      <x:c r="A31" s="14" t="n">
        <x:v>24</x:v>
      </x:c>
      <x:c r="B31" s="24" t="n">
        <x:f>'Curve Data'!L9</x:f>
        <x:v>1.3467202138554217</x:v>
      </x:c>
      <x:c r="C31" s="24" t="n">
        <x:f>'Curve Data'!L19</x:f>
        <x:v>1.1900826445789223</x:v>
      </x:c>
      <x:c r="D31" s="93" t="n">
        <x:f>'Curve Data'!L29</x:f>
        <x:v>22.5</x:v>
      </x:c>
    </x:row>
    <x:row r="32">
      <x:c r="A32" s="14" t="n">
        <x:v>32</x:v>
      </x:c>
      <x:c r="B32" s="24" t="n">
        <x:f>'Curve Data'!L10</x:f>
        <x:v>1.3450937161921428</x:v>
      </x:c>
      <x:c r="C32" s="24" t="n">
        <x:f>'Curve Data'!L20</x:f>
        <x:v>1.0545685275842105</x:v>
      </x:c>
      <x:c r="D32" s="93" t="n">
        <x:f>'Curve Data'!L30</x:f>
        <x:v>17.5</x:v>
      </x:c>
    </x:row>
    <x:row r="33">
      <x:c r="A33" s="16" t="n">
        <x:v>40</x:v>
      </x:c>
      <x:c r="B33" s="25" t="n">
        <x:f>'Curve Data'!L11</x:f>
        <x:v>1.3736040612623361</x:v>
      </x:c>
      <x:c r="C33" s="25" t="n">
        <x:f>'Curve Data'!L21</x:f>
        <x:v>0.9203142533670035</x:v>
      </x:c>
      <x:c r="D33" s="94" t="n">
        <x:f>'Curve Data'!L31</x:f>
        <x:v>20</x:v>
      </x:c>
    </x:row>
    <x:row r="36" ht="32" customHeight="1">
      <x:c r="A36" s="12" t="str">
        <x:v>Clients</x:v>
      </x:c>
      <x:c r="B36" s="13" t="str">
        <x:v>YCSB low</x:v>
      </x:c>
      <x:c r="C36" s="13" t="str">
        <x:v>YCSB medium</x:v>
      </x:c>
      <x:c r="D36" s="13" t="str">
        <x:v>YCSB high</x:v>
      </x:c>
    </x:row>
    <x:row r="37">
      <x:c r="A37" s="14" t="n">
        <x:v>8</x:v>
      </x:c>
      <x:c r="B37" s="22" t="n">
        <x:f>'Curve Data'!U7</x:f>
        <x:v>0</x:v>
      </x:c>
      <x:c r="C37" s="22" t="n">
        <x:f>'Curve Data'!U17</x:f>
        <x:v>0.02617699408</x:v>
      </x:c>
      <x:c r="D37" s="95" t="n">
        <x:f>'Curve Data'!U27</x:f>
        <x:v>0.1601851852</x:v>
      </x:c>
    </x:row>
    <x:row r="38">
      <x:c r="A38" s="14" t="n">
        <x:v>16</x:v>
      </x:c>
      <x:c r="B38" s="22" t="n">
        <x:f>'Curve Data'!U8</x:f>
        <x:v>0</x:v>
      </x:c>
      <x:c r="C38" s="22" t="n">
        <x:f>'Curve Data'!U18</x:f>
        <x:v>0.03530571135</x:v>
      </x:c>
      <x:c r="D38" s="95" t="n">
        <x:f>'Curve Data'!U28</x:f>
        <x:v>0.215537518</x:v>
      </x:c>
    </x:row>
    <x:row r="39">
      <x:c r="A39" s="14" t="n">
        <x:v>24</x:v>
      </x:c>
      <x:c r="B39" s="22" t="n">
        <x:f>'Curve Data'!U9</x:f>
        <x:v>0</x:v>
      </x:c>
      <x:c r="C39" s="22" t="n">
        <x:f>'Curve Data'!U19</x:f>
        <x:v>0.02630357726</x:v>
      </x:c>
      <x:c r="D39" s="95" t="n">
        <x:f>'Curve Data'!U29</x:f>
        <x:v>0.2831933392</x:v>
      </x:c>
    </x:row>
    <x:row r="40">
      <x:c r="A40" s="14" t="n">
        <x:v>32</x:v>
      </x:c>
      <x:c r="B40" s="22" t="n">
        <x:f>'Curve Data'!U10</x:f>
        <x:v>0.0007898894155</x:v>
      </x:c>
      <x:c r="C40" s="22" t="n">
        <x:f>'Curve Data'!U20</x:f>
        <x:v>0.01942113633</x:v>
      </x:c>
      <x:c r="D40" s="95" t="n">
        <x:f>'Curve Data'!U30</x:f>
        <x:v>0.2702702703</x:v>
      </x:c>
    </x:row>
    <x:row r="41">
      <x:c r="A41" s="16" t="n">
        <x:v>40</x:v>
      </x:c>
      <x:c r="B41" s="23" t="n">
        <x:f>'Curve Data'!U11</x:f>
        <x:v>0</x:v>
      </x:c>
      <x:c r="C41" s="23" t="n">
        <x:f>'Curve Data'!U21</x:f>
        <x:v>0.02249742117</x:v>
      </x:c>
      <x:c r="D41" s="96" t="n">
        <x:f>'Curve Data'!U31</x:f>
        <x:v>0.3402061856</x:v>
      </x:c>
    </x:row>
    <x:row r="44" ht="32" customHeight="1">
      <x:c r="A44" s="12" t="str">
        <x:v>Clients</x:v>
      </x:c>
      <x:c r="B44" s="13" t="str">
        <x:v>YCSB low</x:v>
      </x:c>
      <x:c r="C44" s="13" t="str">
        <x:v>YCSB medium</x:v>
      </x:c>
      <x:c r="D44" s="13" t="str">
        <x:v>YCSB high</x:v>
      </x:c>
    </x:row>
    <x:row r="45">
      <x:c r="A45" s="14" t="n">
        <x:v>8</x:v>
      </x:c>
      <x:c r="B45" s="98" t="n">
        <x:f>'Curve Data'!X7</x:f>
        <x:v>152.6638285</x:v>
      </x:c>
      <x:c r="C45" s="98" t="n">
        <x:f>'Curve Data'!X17</x:f>
        <x:v>1315.367929</x:v>
      </x:c>
      <x:c r="D45" s="99" t="n">
        <x:f>'Curve Data'!X27</x:f>
        <x:v>4469.49346</x:v>
      </x:c>
    </x:row>
    <x:row r="46">
      <x:c r="A46" s="14" t="n">
        <x:v>16</x:v>
      </x:c>
      <x:c r="B46" s="98" t="n">
        <x:f>'Curve Data'!X8</x:f>
        <x:v>161.7340399</x:v>
      </x:c>
      <x:c r="C46" s="98" t="n">
        <x:f>'Curve Data'!X18</x:f>
        <x:v>2667.939687</x:v>
      </x:c>
      <x:c r="D46" s="99" t="n">
        <x:f>'Curve Data'!X28</x:f>
        <x:v>5410.670611</x:v>
      </x:c>
    </x:row>
    <x:row r="47">
      <x:c r="A47" s="14" t="n">
        <x:v>24</x:v>
      </x:c>
      <x:c r="B47" s="98" t="n">
        <x:f>'Curve Data'!X9</x:f>
        <x:v>181.3193621</x:v>
      </x:c>
      <x:c r="C47" s="98" t="n">
        <x:f>'Curve Data'!X19</x:f>
        <x:v>3160.802916</x:v>
      </x:c>
      <x:c r="D47" s="99" t="n">
        <x:f>'Curve Data'!X29</x:f>
        <x:v>6666.874432</x:v>
      </x:c>
    </x:row>
    <x:row r="48">
      <x:c r="A48" s="14" t="n">
        <x:v>32</x:v>
      </x:c>
      <x:c r="B48" s="98" t="n">
        <x:f>'Curve Data'!X10</x:f>
        <x:v>209.3009564</x:v>
      </x:c>
      <x:c r="C48" s="98" t="n">
        <x:f>'Curve Data'!X20</x:f>
        <x:v>1761.488343</x:v>
      </x:c>
      <x:c r="D48" s="99" t="n">
        <x:f>'Curve Data'!X30</x:f>
        <x:v>4969.510444</x:v>
      </x:c>
    </x:row>
    <x:row r="49">
      <x:c r="A49" s="16" t="n">
        <x:v>40</x:v>
      </x:c>
      <x:c r="B49" s="100" t="n">
        <x:f>'Curve Data'!X11</x:f>
        <x:v>250.2298704</x:v>
      </x:c>
      <x:c r="C49" s="100" t="n">
        <x:f>'Curve Data'!X21</x:f>
        <x:v>3570.983132</x:v>
      </x:c>
      <x:c r="D49" s="101" t="n">
        <x:f>'Curve Data'!X31</x:f>
        <x:v>5244.176475</x:v>
      </x:c>
    </x:row>
    <x:row r="52" ht="32" customHeight="1">
      <x:c r="A52" s="12" t="str">
        <x:v>Clients</x:v>
      </x:c>
      <x:c r="B52" s="13" t="str">
        <x:v>YCSB low</x:v>
      </x:c>
      <x:c r="C52" s="13" t="str">
        <x:v>YCSB medium</x:v>
      </x:c>
      <x:c r="D52" s="13" t="str">
        <x:v>YCSB high</x:v>
      </x:c>
    </x:row>
    <x:row r="53">
      <x:c r="A53" s="14" t="n">
        <x:v>8</x:v>
      </x:c>
      <x:c r="B53" s="103" t="n">
        <x:f>'Curve Data'!AA7</x:f>
        <x:v>27030</x:v>
      </x:c>
      <x:c r="C53" s="103" t="n">
        <x:f>'Curve Data'!AA17</x:f>
        <x:v>27775.44227</x:v>
      </x:c>
      <x:c r="D53" s="104" t="n">
        <x:f>'Curve Data'!AA27</x:f>
        <x:v>32229.3797</x:v>
      </x:c>
    </x:row>
    <x:row r="54">
      <x:c r="A54" s="14" t="n">
        <x:v>16</x:v>
      </x:c>
      <x:c r="B54" s="103" t="n">
        <x:f>'Curve Data'!AA8</x:f>
        <x:v>27030</x:v>
      </x:c>
      <x:c r="C54" s="103" t="n">
        <x:f>'Curve Data'!AA18</x:f>
        <x:v>28019.80228</x:v>
      </x:c>
      <x:c r="D54" s="104" t="n">
        <x:f>'Curve Data'!AA28</x:f>
        <x:v>34457.49301</x:v>
      </x:c>
    </x:row>
    <x:row r="55">
      <x:c r="A55" s="14" t="n">
        <x:v>24</x:v>
      </x:c>
      <x:c r="B55" s="103" t="n">
        <x:f>'Curve Data'!AA9</x:f>
        <x:v>27030</x:v>
      </x:c>
      <x:c r="C55" s="103" t="n">
        <x:f>'Curve Data'!AA19</x:f>
        <x:v>27761.00031</x:v>
      </x:c>
      <x:c r="D55" s="104" t="n">
        <x:f>'Curve Data'!AA29</x:f>
        <x:v>37818.64678</x:v>
      </x:c>
    </x:row>
    <x:row r="56">
      <x:c r="A56" s="14" t="n">
        <x:v>32</x:v>
      </x:c>
      <x:c r="B56" s="103" t="n">
        <x:f>'Curve Data'!AA10</x:f>
        <x:v>27051.40143</x:v>
      </x:c>
      <x:c r="C56" s="103" t="n">
        <x:f>'Curve Data'!AA20</x:f>
        <x:v>27566.75182</x:v>
      </x:c>
      <x:c r="D56" s="104" t="n">
        <x:f>'Curve Data'!AA30</x:f>
        <x:v>37041.11111</x:v>
      </x:c>
    </x:row>
    <x:row r="57">
      <x:c r="A57" s="16" t="n">
        <x:v>40</x:v>
      </x:c>
      <x:c r="B57" s="105" t="n">
        <x:f>'Curve Data'!AA11</x:f>
        <x:v>27030</x:v>
      </x:c>
      <x:c r="C57" s="105" t="n">
        <x:f>'Curve Data'!AA21</x:f>
        <x:v>27652.78286</x:v>
      </x:c>
      <x:c r="D57" s="106" t="n">
        <x:f>'Curve Data'!AA31</x:f>
        <x:v>40967.34375</x:v>
      </x:c>
    </x:row>
  </x:sheetData>
  <x:mergeCells>
    <x:mergeCell ref="A1:W1"/>
    <x:mergeCell ref="A2:W2"/>
  </x:mergeCells>
  <x:pageMargins left="0.7" right="0.7" top="0.75" bottom="0.75" header="0.3" footer="0.3"/>
  <x:drawing xmlns:r="http://schemas.openxmlformats.org/officeDocument/2006/relationships" r:id="Re579247dc3524cd8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30" customHeight="1">
      <x:c r="A1" s="48" t="str">
        <x:v>TPC-C curves - Agent ratio 1.0</x:v>
      </x:c>
      <x:c r="B1" s="48" t="str">
        <x:v>TPC-C curves - Agent ratio 1.0</x:v>
      </x:c>
      <x:c r="C1" s="48" t="str">
        <x:v>TPC-C curves - Agent ratio 1.0</x:v>
      </x:c>
      <x:c r="D1" s="48" t="str">
        <x:v>TPC-C curves - Agent ratio 1.0</x:v>
      </x:c>
      <x:c r="E1" s="48" t="str">
        <x:v>TPC-C curves - Agent ratio 1.0</x:v>
      </x:c>
      <x:c r="F1" s="48" t="str">
        <x:v>TPC-C curves - Agent ratio 1.0</x:v>
      </x:c>
      <x:c r="G1" s="48" t="str">
        <x:v>TPC-C curves - Agent ratio 1.0</x:v>
      </x:c>
      <x:c r="H1" s="48" t="str">
        <x:v>TPC-C curves - Agent ratio 1.0</x:v>
      </x:c>
      <x:c r="I1" s="48" t="str">
        <x:v>TPC-C curves - Agent ratio 1.0</x:v>
      </x:c>
      <x:c r="J1" s="48" t="str">
        <x:v>TPC-C curves - Agent ratio 1.0</x:v>
      </x:c>
      <x:c r="K1" s="48" t="str">
        <x:v>TPC-C curves - Agent ratio 1.0</x:v>
      </x:c>
      <x:c r="L1" s="48" t="str">
        <x:v>TPC-C curves - Agent ratio 1.0</x:v>
      </x:c>
      <x:c r="M1" s="48" t="str">
        <x:v>TPC-C curves - Agent ratio 1.0</x:v>
      </x:c>
      <x:c r="N1" s="48" t="str">
        <x:v>TPC-C curves - Agent ratio 1.0</x:v>
      </x:c>
      <x:c r="O1" s="48" t="str">
        <x:v>TPC-C curves - Agent ratio 1.0</x:v>
      </x:c>
      <x:c r="P1" s="48" t="str">
        <x:v>TPC-C curves - Agent ratio 1.0</x:v>
      </x:c>
      <x:c r="Q1" s="48" t="str">
        <x:v>TPC-C curves - Agent ratio 1.0</x:v>
      </x:c>
      <x:c r="R1" s="48" t="str">
        <x:v>TPC-C curves - Agent ratio 1.0</x:v>
      </x:c>
      <x:c r="S1" s="48" t="str">
        <x:v>TPC-C curves - Agent ratio 1.0</x:v>
      </x:c>
      <x:c r="T1" s="48" t="str">
        <x:v>TPC-C curves - Agent ratio 1.0</x:v>
      </x:c>
      <x:c r="U1" s="48" t="str">
        <x:v>TPC-C curves - Agent ratio 1.0</x:v>
      </x:c>
      <x:c r="V1" s="48" t="str">
        <x:v>TPC-C curves - Agent ratio 1.0</x:v>
      </x:c>
      <x:c r="W1" s="48" t="str">
        <x:v>TPC-C curves - Agent ratio 1.0</x:v>
      </x:c>
    </x:row>
    <x:row r="2" ht="32" customHeight="1">
      <x:c r="A2" s="51" t="str">
        <x:v>All chart series link to the formula-driven Curve Data sheet. Inspect Agent TPS together with total/background TPS, abort, P99, and token cost.</x:v>
      </x:c>
      <x:c r="B2" s="51" t="str">
        <x:v>All chart series link to the formula-driven Curve Data sheet. Inspect Agent TPS together with total/background TPS, abort, P99, and token cost.</x:v>
      </x:c>
      <x:c r="C2" s="51" t="str">
        <x:v>All chart series link to the formula-driven Curve Data sheet. Inspect Agent TPS together with total/background TPS, abort, P99, and token cost.</x:v>
      </x:c>
      <x:c r="D2" s="51" t="str">
        <x:v>All chart series link to the formula-driven Curve Data sheet. Inspect Agent TPS together with total/background TPS, abort, P99, and token cost.</x:v>
      </x:c>
      <x:c r="E2" s="51" t="str">
        <x:v>All chart series link to the formula-driven Curve Data sheet. Inspect Agent TPS together with total/background TPS, abort, P99, and token cost.</x:v>
      </x:c>
      <x:c r="F2" s="51" t="str">
        <x:v>All chart series link to the formula-driven Curve Data sheet. Inspect Agent TPS together with total/background TPS, abort, P99, and token cost.</x:v>
      </x:c>
      <x:c r="G2" s="51" t="str">
        <x:v>All chart series link to the formula-driven Curve Data sheet. Inspect Agent TPS together with total/background TPS, abort, P99, and token cost.</x:v>
      </x:c>
      <x:c r="H2" s="51" t="str">
        <x:v>All chart series link to the formula-driven Curve Data sheet. Inspect Agent TPS together with total/background TPS, abort, P99, and token cost.</x:v>
      </x:c>
      <x:c r="I2" s="51" t="str">
        <x:v>All chart series link to the formula-driven Curve Data sheet. Inspect Agent TPS together with total/background TPS, abort, P99, and token cost.</x:v>
      </x:c>
      <x:c r="J2" s="51" t="str">
        <x:v>All chart series link to the formula-driven Curve Data sheet. Inspect Agent TPS together with total/background TPS, abort, P99, and token cost.</x:v>
      </x:c>
      <x:c r="K2" s="51" t="str">
        <x:v>All chart series link to the formula-driven Curve Data sheet. Inspect Agent TPS together with total/background TPS, abort, P99, and token cost.</x:v>
      </x:c>
      <x:c r="L2" s="51" t="str">
        <x:v>All chart series link to the formula-driven Curve Data sheet. Inspect Agent TPS together with total/background TPS, abort, P99, and token cost.</x:v>
      </x:c>
      <x:c r="M2" s="51" t="str">
        <x:v>All chart series link to the formula-driven Curve Data sheet. Inspect Agent TPS together with total/background TPS, abort, P99, and token cost.</x:v>
      </x:c>
      <x:c r="N2" s="51" t="str">
        <x:v>All chart series link to the formula-driven Curve Data sheet. Inspect Agent TPS together with total/background TPS, abort, P99, and token cost.</x:v>
      </x:c>
      <x:c r="O2" s="51" t="str">
        <x:v>All chart series link to the formula-driven Curve Data sheet. Inspect Agent TPS together with total/background TPS, abort, P99, and token cost.</x:v>
      </x:c>
      <x:c r="P2" s="51" t="str">
        <x:v>All chart series link to the formula-driven Curve Data sheet. Inspect Agent TPS together with total/background TPS, abort, P99, and token cost.</x:v>
      </x:c>
      <x:c r="Q2" s="51" t="str">
        <x:v>All chart series link to the formula-driven Curve Data sheet. Inspect Agent TPS together with total/background TPS, abort, P99, and token cost.</x:v>
      </x:c>
      <x:c r="R2" s="51" t="str">
        <x:v>All chart series link to the formula-driven Curve Data sheet. Inspect Agent TPS together with total/background TPS, abort, P99, and token cost.</x:v>
      </x:c>
      <x:c r="S2" s="51" t="str">
        <x:v>All chart series link to the formula-driven Curve Data sheet. Inspect Agent TPS together with total/background TPS, abort, P99, and token cost.</x:v>
      </x:c>
      <x:c r="T2" s="51" t="str">
        <x:v>All chart series link to the formula-driven Curve Data sheet. Inspect Agent TPS together with total/background TPS, abort, P99, and token cost.</x:v>
      </x:c>
      <x:c r="U2" s="51" t="str">
        <x:v>All chart series link to the formula-driven Curve Data sheet. Inspect Agent TPS together with total/background TPS, abort, P99, and token cost.</x:v>
      </x:c>
      <x:c r="V2" s="51" t="str">
        <x:v>All chart series link to the formula-driven Curve Data sheet. Inspect Agent TPS together with total/background TPS, abort, P99, and token cost.</x:v>
      </x:c>
      <x:c r="W2" s="51" t="str">
        <x:v>All chart series link to the formula-driven Curve Data sheet. Inspect Agent TPS together with total/background TPS, abort, P99, and token cost.</x:v>
      </x:c>
    </x:row>
    <x:row r="4" ht="32" customHeight="1">
      <x:c r="A4" s="12" t="str">
        <x:v>Clients</x:v>
      </x:c>
      <x:c r="B4" s="13" t="str">
        <x:v>TPC-C low</x:v>
      </x:c>
      <x:c r="C4" s="13" t="str">
        <x:v>TPC-C high</x:v>
      </x:c>
    </x:row>
    <x:row r="5">
      <x:c r="A5" s="14" t="n">
        <x:v>8</x:v>
      </x:c>
      <x:c r="B5" s="18" t="n">
        <x:f>'Curve Data'!H32</x:f>
        <x:v>25.46666667</x:v>
      </x:c>
      <x:c r="C5" s="91" t="n">
        <x:f>'Curve Data'!H42</x:f>
        <x:v>22.8</x:v>
      </x:c>
    </x:row>
    <x:row r="6">
      <x:c r="A6" s="14" t="n">
        <x:v>16</x:v>
      </x:c>
      <x:c r="B6" s="18" t="n">
        <x:f>'Curve Data'!H33</x:f>
        <x:v>47.33333333</x:v>
      </x:c>
      <x:c r="C6" s="91" t="n">
        <x:f>'Curve Data'!H43</x:f>
        <x:v>36</x:v>
      </x:c>
    </x:row>
    <x:row r="7">
      <x:c r="A7" s="14" t="n">
        <x:v>24</x:v>
      </x:c>
      <x:c r="B7" s="18" t="n">
        <x:f>'Curve Data'!H34</x:f>
        <x:v>62.66666667</x:v>
      </x:c>
      <x:c r="C7" s="91" t="n">
        <x:f>'Curve Data'!H44</x:f>
        <x:v>33.6</x:v>
      </x:c>
    </x:row>
    <x:row r="8">
      <x:c r="A8" s="14" t="n">
        <x:v>32</x:v>
      </x:c>
      <x:c r="B8" s="18" t="n">
        <x:f>'Curve Data'!H35</x:f>
        <x:v>84.93333333</x:v>
      </x:c>
      <x:c r="C8" s="91" t="n">
        <x:f>'Curve Data'!H45</x:f>
        <x:v>28.4</x:v>
      </x:c>
    </x:row>
    <x:row r="9">
      <x:c r="A9" s="16" t="n">
        <x:v>40</x:v>
      </x:c>
      <x:c r="B9" s="19" t="n">
        <x:f>'Curve Data'!H36</x:f>
        <x:v>92.26666667</x:v>
      </x:c>
      <x:c r="C9" s="92" t="n">
        <x:f>'Curve Data'!H46</x:f>
        <x:v>20.4</x:v>
      </x:c>
    </x:row>
    <x:row r="12" ht="32" customHeight="1">
      <x:c r="A12" s="12" t="str">
        <x:v>Clients</x:v>
      </x:c>
      <x:c r="B12" s="13" t="str">
        <x:v>TPC-C low</x:v>
      </x:c>
      <x:c r="C12" s="13" t="str">
        <x:v>TPC-C high</x:v>
      </x:c>
    </x:row>
    <x:row r="13">
      <x:c r="A13" s="14" t="n">
        <x:v>8</x:v>
      </x:c>
      <x:c r="B13" s="18" t="n">
        <x:f>'Curve Data'!M32</x:f>
        <x:v>25.46666667</x:v>
      </x:c>
      <x:c r="C13" s="91" t="n">
        <x:f>'Curve Data'!M42</x:f>
        <x:v>22.8</x:v>
      </x:c>
    </x:row>
    <x:row r="14">
      <x:c r="A14" s="14" t="n">
        <x:v>16</x:v>
      </x:c>
      <x:c r="B14" s="18" t="n">
        <x:f>'Curve Data'!M33</x:f>
        <x:v>47.33333333</x:v>
      </x:c>
      <x:c r="C14" s="91" t="n">
        <x:f>'Curve Data'!M43</x:f>
        <x:v>36</x:v>
      </x:c>
    </x:row>
    <x:row r="15">
      <x:c r="A15" s="14" t="n">
        <x:v>24</x:v>
      </x:c>
      <x:c r="B15" s="18" t="n">
        <x:f>'Curve Data'!M34</x:f>
        <x:v>62.66666667</x:v>
      </x:c>
      <x:c r="C15" s="91" t="n">
        <x:f>'Curve Data'!M44</x:f>
        <x:v>33.6</x:v>
      </x:c>
    </x:row>
    <x:row r="16">
      <x:c r="A16" s="14" t="n">
        <x:v>32</x:v>
      </x:c>
      <x:c r="B16" s="18" t="n">
        <x:f>'Curve Data'!M35</x:f>
        <x:v>84.93333333</x:v>
      </x:c>
      <x:c r="C16" s="91" t="n">
        <x:f>'Curve Data'!M45</x:f>
        <x:v>28.4</x:v>
      </x:c>
    </x:row>
    <x:row r="17">
      <x:c r="A17" s="16" t="n">
        <x:v>40</x:v>
      </x:c>
      <x:c r="B17" s="19" t="n">
        <x:f>'Curve Data'!M36</x:f>
        <x:v>92.26666667</x:v>
      </x:c>
      <x:c r="C17" s="92" t="n">
        <x:f>'Curve Data'!M46</x:f>
        <x:v>20.4</x:v>
      </x:c>
    </x:row>
    <x:row r="20" ht="32" customHeight="1">
      <x:c r="A20" s="12" t="str">
        <x:v>Clients</x:v>
      </x:c>
      <x:c r="B20" s="13" t="str">
        <x:v>TPC-C low</x:v>
      </x:c>
      <x:c r="C20" s="13" t="str">
        <x:v>TPC-C high</x:v>
      </x:c>
    </x:row>
    <x:row r="21">
      <x:c r="A21" s="14" t="n">
        <x:v>8</x:v>
      </x:c>
      <x:c r="B21" s="18" t="n">
        <x:f>'Curve Data'!Q32</x:f>
        <x:v>0</x:v>
      </x:c>
      <x:c r="C21" s="91" t="n">
        <x:f>'Curve Data'!Q42</x:f>
        <x:v>0</x:v>
      </x:c>
    </x:row>
    <x:row r="22">
      <x:c r="A22" s="14" t="n">
        <x:v>16</x:v>
      </x:c>
      <x:c r="B22" s="18" t="n">
        <x:f>'Curve Data'!Q33</x:f>
        <x:v>0</x:v>
      </x:c>
      <x:c r="C22" s="91" t="n">
        <x:f>'Curve Data'!Q43</x:f>
        <x:v>0</x:v>
      </x:c>
    </x:row>
    <x:row r="23">
      <x:c r="A23" s="14" t="n">
        <x:v>24</x:v>
      </x:c>
      <x:c r="B23" s="18" t="n">
        <x:f>'Curve Data'!Q34</x:f>
        <x:v>0</x:v>
      </x:c>
      <x:c r="C23" s="91" t="n">
        <x:f>'Curve Data'!Q44</x:f>
        <x:v>0</x:v>
      </x:c>
    </x:row>
    <x:row r="24">
      <x:c r="A24" s="14" t="n">
        <x:v>32</x:v>
      </x:c>
      <x:c r="B24" s="18" t="n">
        <x:f>'Curve Data'!Q35</x:f>
        <x:v>0</x:v>
      </x:c>
      <x:c r="C24" s="91" t="n">
        <x:f>'Curve Data'!Q45</x:f>
        <x:v>0</x:v>
      </x:c>
    </x:row>
    <x:row r="25">
      <x:c r="A25" s="16" t="n">
        <x:v>40</x:v>
      </x:c>
      <x:c r="B25" s="19" t="n">
        <x:f>'Curve Data'!Q36</x:f>
        <x:v>0</x:v>
      </x:c>
      <x:c r="C25" s="92" t="n">
        <x:f>'Curve Data'!Q46</x:f>
        <x:v>0</x:v>
      </x:c>
    </x:row>
    <x:row r="28" ht="32" customHeight="1">
      <x:c r="A28" s="12" t="str">
        <x:v>Clients</x:v>
      </x:c>
      <x:c r="B28" s="13" t="str">
        <x:v>TPC-C low</x:v>
      </x:c>
      <x:c r="C28" s="13" t="str">
        <x:v>TPC-C high</x:v>
      </x:c>
    </x:row>
    <x:row r="29">
      <x:c r="A29" s="14" t="n">
        <x:v>8</x:v>
      </x:c>
      <x:c r="B29" s="24" t="n">
        <x:f>'Curve Data'!L32</x:f>
        <x:v>0.9845360824762195</x:v>
      </x:c>
      <x:c r="C29" s="93" t="n">
        <x:f>'Curve Data'!L42</x:f>
        <x:v>3.2884615386196376</x:v>
      </x:c>
    </x:row>
    <x:row r="30">
      <x:c r="A30" s="14" t="n">
        <x:v>16</x:v>
      </x:c>
      <x:c r="B30" s="24" t="n">
        <x:f>'Curve Data'!L33</x:f>
        <x:v>0.9833795013838906</x:v>
      </x:c>
      <x:c r="C30" s="93" t="n">
        <x:f>'Curve Data'!L43</x:f>
        <x:v>3.91304347826087</x:v>
      </x:c>
    </x:row>
    <x:row r="31">
      <x:c r="A31" s="14" t="n">
        <x:v>24</x:v>
      </x:c>
      <x:c r="B31" s="24" t="n">
        <x:f>'Curve Data'!L34</x:f>
        <x:v>0.9611451943251533</x:v>
      </x:c>
      <x:c r="C31" s="93" t="n">
        <x:f>'Curve Data'!L44</x:f>
        <x:v>2.4</x:v>
      </x:c>
    </x:row>
    <x:row r="32">
      <x:c r="A32" s="14" t="n">
        <x:v>32</x:v>
      </x:c>
      <x:c r="B32" s="24" t="n">
        <x:f>'Curve Data'!L35</x:f>
        <x:v>0.9875968991860464</x:v>
      </x:c>
      <x:c r="C32" s="93" t="n">
        <x:f>'Curve Data'!L45</x:f>
        <x:v>1.868421052631579</x:v>
      </x:c>
    </x:row>
    <x:row r="33">
      <x:c r="A33" s="16" t="n">
        <x:v>40</x:v>
      </x:c>
      <x:c r="B33" s="25" t="n">
        <x:f>'Curve Data'!L36</x:f>
        <x:v>0.9479452055461626</x:v>
      </x:c>
      <x:c r="C33" s="94" t="n">
        <x:f>'Curve Data'!L46</x:f>
        <x:v>1.443396226755518</x:v>
      </x:c>
    </x:row>
    <x:row r="36" ht="32" customHeight="1">
      <x:c r="A36" s="12" t="str">
        <x:v>Clients</x:v>
      </x:c>
      <x:c r="B36" s="13" t="str">
        <x:v>TPC-C low</x:v>
      </x:c>
      <x:c r="C36" s="13" t="str">
        <x:v>TPC-C high</x:v>
      </x:c>
    </x:row>
    <x:row r="37">
      <x:c r="A37" s="14" t="n">
        <x:v>8</x:v>
      </x:c>
      <x:c r="B37" s="22" t="n">
        <x:f>'Curve Data'!U32</x:f>
        <x:v>0.004329004329</x:v>
      </x:c>
      <x:c r="C37" s="95" t="n">
        <x:f>'Curve Data'!U42</x:f>
        <x:v>0.2696629213</x:v>
      </x:c>
    </x:row>
    <x:row r="38">
      <x:c r="A38" s="14" t="n">
        <x:v>16</x:v>
      </x:c>
      <x:c r="B38" s="22" t="n">
        <x:f>'Curve Data'!U33</x:f>
        <x:v>0.01225322199</x:v>
      </x:c>
      <x:c r="C38" s="95" t="n">
        <x:f>'Curve Data'!U43</x:f>
        <x:v>0.4778325123</x:v>
      </x:c>
    </x:row>
    <x:row r="39">
      <x:c r="A39" s="14" t="n">
        <x:v>24</x:v>
      </x:c>
      <x:c r="B39" s="22" t="n">
        <x:f>'Curve Data'!U34</x:f>
        <x:v>0.03070855421</x:v>
      </x:c>
      <x:c r="C39" s="95" t="n">
        <x:f>'Curve Data'!U44</x:f>
        <x:v>0.6218181818</x:v>
      </x:c>
    </x:row>
    <x:row r="40">
      <x:c r="A40" s="14" t="n">
        <x:v>32</x:v>
      </x:c>
      <x:c r="B40" s="22" t="n">
        <x:f>'Curve Data'!U35</x:f>
        <x:v>0.0341122244</x:v>
      </x:c>
      <x:c r="C40" s="95" t="n">
        <x:f>'Curve Data'!U45</x:f>
        <x:v>0.6607773852</x:v>
      </x:c>
    </x:row>
    <x:row r="41">
      <x:c r="A41" s="16" t="n">
        <x:v>40</x:v>
      </x:c>
      <x:c r="B41" s="23" t="n">
        <x:f>'Curve Data'!U36</x:f>
        <x:v>0.0468478786</x:v>
      </x:c>
      <x:c r="C41" s="96" t="n">
        <x:f>'Curve Data'!U46</x:f>
        <x:v>0.7586206897</x:v>
      </x:c>
    </x:row>
    <x:row r="44" ht="32" customHeight="1">
      <x:c r="A44" s="12" t="str">
        <x:v>Clients</x:v>
      </x:c>
      <x:c r="B44" s="13" t="str">
        <x:v>TPC-C low</x:v>
      </x:c>
      <x:c r="C44" s="13" t="str">
        <x:v>TPC-C high</x:v>
      </x:c>
    </x:row>
    <x:row r="45">
      <x:c r="A45" s="14" t="n">
        <x:v>8</x:v>
      </x:c>
      <x:c r="B45" s="98" t="n">
        <x:f>'Curve Data'!X32</x:f>
        <x:v>990.1518392</x:v>
      </x:c>
      <x:c r="C45" s="99" t="n">
        <x:f>'Curve Data'!X42</x:f>
        <x:v>768.4640589</x:v>
      </x:c>
    </x:row>
    <x:row r="46">
      <x:c r="A46" s="14" t="n">
        <x:v>16</x:v>
      </x:c>
      <x:c r="B46" s="98" t="n">
        <x:f>'Curve Data'!X33</x:f>
        <x:v>977.5764875</x:v>
      </x:c>
      <x:c r="C46" s="99" t="n">
        <x:f>'Curve Data'!X43</x:f>
        <x:v>943.2873204</x:v>
      </x:c>
    </x:row>
    <x:row r="47">
      <x:c r="A47" s="14" t="n">
        <x:v>24</x:v>
      </x:c>
      <x:c r="B47" s="98" t="n">
        <x:f>'Curve Data'!X34</x:f>
        <x:v>2585.90597</x:v>
      </x:c>
      <x:c r="C47" s="99" t="n">
        <x:f>'Curve Data'!X44</x:f>
        <x:v>1541.583792</x:v>
      </x:c>
    </x:row>
    <x:row r="48">
      <x:c r="A48" s="14" t="n">
        <x:v>32</x:v>
      </x:c>
      <x:c r="B48" s="98" t="n">
        <x:f>'Curve Data'!X35</x:f>
        <x:v>3724.215683</x:v>
      </x:c>
      <x:c r="C48" s="99" t="n">
        <x:f>'Curve Data'!X45</x:f>
        <x:v>2332.394822</x:v>
      </x:c>
    </x:row>
    <x:row r="49">
      <x:c r="A49" s="16" t="n">
        <x:v>40</x:v>
      </x:c>
      <x:c r="B49" s="100" t="n">
        <x:f>'Curve Data'!X36</x:f>
        <x:v>4624.58193</x:v>
      </x:c>
      <x:c r="C49" s="101" t="n">
        <x:f>'Curve Data'!X46</x:f>
        <x:v>3216.82356</x:v>
      </x:c>
    </x:row>
    <x:row r="52" ht="32" customHeight="1">
      <x:c r="A52" s="12" t="str">
        <x:v>Clients</x:v>
      </x:c>
      <x:c r="B52" s="13" t="str">
        <x:v>TPC-C low</x:v>
      </x:c>
      <x:c r="C52" s="13" t="str">
        <x:v>TPC-C high</x:v>
      </x:c>
    </x:row>
    <x:row r="53">
      <x:c r="A53" s="14" t="n">
        <x:v>8</x:v>
      </x:c>
      <x:c r="B53" s="103" t="n">
        <x:f>'Curve Data'!AA32</x:f>
        <x:v>110395.3946</x:v>
      </x:c>
      <x:c r="C53" s="104" t="n">
        <x:f>'Curve Data'!AA42</x:f>
        <x:v>159998.4071</x:v>
      </x:c>
    </x:row>
    <x:row r="54">
      <x:c r="A54" s="14" t="n">
        <x:v>16</x:v>
      </x:c>
      <x:c r="B54" s="103" t="n">
        <x:f>'Curve Data'!AA33</x:f>
        <x:v>113080.2064</x:v>
      </x:c>
      <x:c r="C54" s="104" t="n">
        <x:f>'Curve Data'!AA43</x:f>
        <x:v>230162.5278</x:v>
      </x:c>
    </x:row>
    <x:row r="55">
      <x:c r="A55" s="14" t="n">
        <x:v>24</x:v>
      </x:c>
      <x:c r="B55" s="103" t="n">
        <x:f>'Curve Data'!AA34</x:f>
        <x:v>115022.7589</x:v>
      </x:c>
      <x:c r="C55" s="104" t="n">
        <x:f>'Curve Data'!AA44</x:f>
        <x:v>300313.2441</x:v>
      </x:c>
    </x:row>
    <x:row r="56">
      <x:c r="A56" s="14" t="n">
        <x:v>32</x:v>
      </x:c>
      <x:c r="B56" s="103" t="n">
        <x:f>'Curve Data'!AA35</x:f>
        <x:v>114607.5912</x:v>
      </x:c>
      <x:c r="C56" s="104" t="n">
        <x:f>'Curve Data'!AA45</x:f>
        <x:v>340641.3516</x:v>
      </x:c>
    </x:row>
    <x:row r="57">
      <x:c r="A57" s="16" t="n">
        <x:v>40</x:v>
      </x:c>
      <x:c r="B57" s="105" t="n">
        <x:f>'Curve Data'!AA36</x:f>
        <x:v>112811.9178</x:v>
      </x:c>
      <x:c r="C57" s="106" t="n">
        <x:f>'Curve Data'!AA46</x:f>
        <x:v>494999.3889</x:v>
      </x:c>
    </x:row>
  </x:sheetData>
  <x:mergeCells>
    <x:mergeCell ref="A1:W1"/>
    <x:mergeCell ref="A2:W2"/>
  </x:mergeCells>
  <x:pageMargins left="0.7" right="0.7" top="0.75" bottom="0.75" header="0.3" footer="0.3"/>
  <x:drawing xmlns:r="http://schemas.openxmlformats.org/officeDocument/2006/relationships" r:id="R1b612125d49040f4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30" customHeight="1">
      <x:c r="A1" s="48" t="str">
        <x:v>TPC-C curves - Agent ratio 0.8</x:v>
      </x:c>
      <x:c r="B1" s="48" t="str">
        <x:v>TPC-C curves - Agent ratio 0.8</x:v>
      </x:c>
      <x:c r="C1" s="48" t="str">
        <x:v>TPC-C curves - Agent ratio 0.8</x:v>
      </x:c>
      <x:c r="D1" s="48" t="str">
        <x:v>TPC-C curves - Agent ratio 0.8</x:v>
      </x:c>
      <x:c r="E1" s="48" t="str">
        <x:v>TPC-C curves - Agent ratio 0.8</x:v>
      </x:c>
      <x:c r="F1" s="48" t="str">
        <x:v>TPC-C curves - Agent ratio 0.8</x:v>
      </x:c>
      <x:c r="G1" s="48" t="str">
        <x:v>TPC-C curves - Agent ratio 0.8</x:v>
      </x:c>
      <x:c r="H1" s="48" t="str">
        <x:v>TPC-C curves - Agent ratio 0.8</x:v>
      </x:c>
      <x:c r="I1" s="48" t="str">
        <x:v>TPC-C curves - Agent ratio 0.8</x:v>
      </x:c>
      <x:c r="J1" s="48" t="str">
        <x:v>TPC-C curves - Agent ratio 0.8</x:v>
      </x:c>
      <x:c r="K1" s="48" t="str">
        <x:v>TPC-C curves - Agent ratio 0.8</x:v>
      </x:c>
      <x:c r="L1" s="48" t="str">
        <x:v>TPC-C curves - Agent ratio 0.8</x:v>
      </x:c>
      <x:c r="M1" s="48" t="str">
        <x:v>TPC-C curves - Agent ratio 0.8</x:v>
      </x:c>
      <x:c r="N1" s="48" t="str">
        <x:v>TPC-C curves - Agent ratio 0.8</x:v>
      </x:c>
      <x:c r="O1" s="48" t="str">
        <x:v>TPC-C curves - Agent ratio 0.8</x:v>
      </x:c>
      <x:c r="P1" s="48" t="str">
        <x:v>TPC-C curves - Agent ratio 0.8</x:v>
      </x:c>
      <x:c r="Q1" s="48" t="str">
        <x:v>TPC-C curves - Agent ratio 0.8</x:v>
      </x:c>
      <x:c r="R1" s="48" t="str">
        <x:v>TPC-C curves - Agent ratio 0.8</x:v>
      </x:c>
      <x:c r="S1" s="48" t="str">
        <x:v>TPC-C curves - Agent ratio 0.8</x:v>
      </x:c>
      <x:c r="T1" s="48" t="str">
        <x:v>TPC-C curves - Agent ratio 0.8</x:v>
      </x:c>
      <x:c r="U1" s="48" t="str">
        <x:v>TPC-C curves - Agent ratio 0.8</x:v>
      </x:c>
      <x:c r="V1" s="48" t="str">
        <x:v>TPC-C curves - Agent ratio 0.8</x:v>
      </x:c>
      <x:c r="W1" s="48" t="str">
        <x:v>TPC-C curves - Agent ratio 0.8</x:v>
      </x:c>
    </x:row>
    <x:row r="2" ht="32" customHeight="1">
      <x:c r="A2" s="51" t="str">
        <x:v>All chart series link to the formula-driven Curve Data sheet. Inspect Agent TPS together with total/background TPS, abort, P99, and token cost.</x:v>
      </x:c>
      <x:c r="B2" s="51" t="str">
        <x:v>All chart series link to the formula-driven Curve Data sheet. Inspect Agent TPS together with total/background TPS, abort, P99, and token cost.</x:v>
      </x:c>
      <x:c r="C2" s="51" t="str">
        <x:v>All chart series link to the formula-driven Curve Data sheet. Inspect Agent TPS together with total/background TPS, abort, P99, and token cost.</x:v>
      </x:c>
      <x:c r="D2" s="51" t="str">
        <x:v>All chart series link to the formula-driven Curve Data sheet. Inspect Agent TPS together with total/background TPS, abort, P99, and token cost.</x:v>
      </x:c>
      <x:c r="E2" s="51" t="str">
        <x:v>All chart series link to the formula-driven Curve Data sheet. Inspect Agent TPS together with total/background TPS, abort, P99, and token cost.</x:v>
      </x:c>
      <x:c r="F2" s="51" t="str">
        <x:v>All chart series link to the formula-driven Curve Data sheet. Inspect Agent TPS together with total/background TPS, abort, P99, and token cost.</x:v>
      </x:c>
      <x:c r="G2" s="51" t="str">
        <x:v>All chart series link to the formula-driven Curve Data sheet. Inspect Agent TPS together with total/background TPS, abort, P99, and token cost.</x:v>
      </x:c>
      <x:c r="H2" s="51" t="str">
        <x:v>All chart series link to the formula-driven Curve Data sheet. Inspect Agent TPS together with total/background TPS, abort, P99, and token cost.</x:v>
      </x:c>
      <x:c r="I2" s="51" t="str">
        <x:v>All chart series link to the formula-driven Curve Data sheet. Inspect Agent TPS together with total/background TPS, abort, P99, and token cost.</x:v>
      </x:c>
      <x:c r="J2" s="51" t="str">
        <x:v>All chart series link to the formula-driven Curve Data sheet. Inspect Agent TPS together with total/background TPS, abort, P99, and token cost.</x:v>
      </x:c>
      <x:c r="K2" s="51" t="str">
        <x:v>All chart series link to the formula-driven Curve Data sheet. Inspect Agent TPS together with total/background TPS, abort, P99, and token cost.</x:v>
      </x:c>
      <x:c r="L2" s="51" t="str">
        <x:v>All chart series link to the formula-driven Curve Data sheet. Inspect Agent TPS together with total/background TPS, abort, P99, and token cost.</x:v>
      </x:c>
      <x:c r="M2" s="51" t="str">
        <x:v>All chart series link to the formula-driven Curve Data sheet. Inspect Agent TPS together with total/background TPS, abort, P99, and token cost.</x:v>
      </x:c>
      <x:c r="N2" s="51" t="str">
        <x:v>All chart series link to the formula-driven Curve Data sheet. Inspect Agent TPS together with total/background TPS, abort, P99, and token cost.</x:v>
      </x:c>
      <x:c r="O2" s="51" t="str">
        <x:v>All chart series link to the formula-driven Curve Data sheet. Inspect Agent TPS together with total/background TPS, abort, P99, and token cost.</x:v>
      </x:c>
      <x:c r="P2" s="51" t="str">
        <x:v>All chart series link to the formula-driven Curve Data sheet. Inspect Agent TPS together with total/background TPS, abort, P99, and token cost.</x:v>
      </x:c>
      <x:c r="Q2" s="51" t="str">
        <x:v>All chart series link to the formula-driven Curve Data sheet. Inspect Agent TPS together with total/background TPS, abort, P99, and token cost.</x:v>
      </x:c>
      <x:c r="R2" s="51" t="str">
        <x:v>All chart series link to the formula-driven Curve Data sheet. Inspect Agent TPS together with total/background TPS, abort, P99, and token cost.</x:v>
      </x:c>
      <x:c r="S2" s="51" t="str">
        <x:v>All chart series link to the formula-driven Curve Data sheet. Inspect Agent TPS together with total/background TPS, abort, P99, and token cost.</x:v>
      </x:c>
      <x:c r="T2" s="51" t="str">
        <x:v>All chart series link to the formula-driven Curve Data sheet. Inspect Agent TPS together with total/background TPS, abort, P99, and token cost.</x:v>
      </x:c>
      <x:c r="U2" s="51" t="str">
        <x:v>All chart series link to the formula-driven Curve Data sheet. Inspect Agent TPS together with total/background TPS, abort, P99, and token cost.</x:v>
      </x:c>
      <x:c r="V2" s="51" t="str">
        <x:v>All chart series link to the formula-driven Curve Data sheet. Inspect Agent TPS together with total/background TPS, abort, P99, and token cost.</x:v>
      </x:c>
      <x:c r="W2" s="51" t="str">
        <x:v>All chart series link to the formula-driven Curve Data sheet. Inspect Agent TPS together with total/background TPS, abort, P99, and token cost.</x:v>
      </x:c>
    </x:row>
    <x:row r="4" ht="32" customHeight="1">
      <x:c r="A4" s="12" t="str">
        <x:v>Clients</x:v>
      </x:c>
      <x:c r="B4" s="13" t="str">
        <x:v>TPC-C low</x:v>
      </x:c>
      <x:c r="C4" s="13" t="str">
        <x:v>TPC-C high</x:v>
      </x:c>
    </x:row>
    <x:row r="5">
      <x:c r="A5" s="14" t="n">
        <x:v>8</x:v>
      </x:c>
      <x:c r="B5" s="18" t="n">
        <x:f>'Curve Data'!H37</x:f>
        <x:v>5.466666667</x:v>
      </x:c>
      <x:c r="C5" s="91" t="n">
        <x:f>'Curve Data'!H47</x:f>
        <x:v>0.9333333333</x:v>
      </x:c>
    </x:row>
    <x:row r="6">
      <x:c r="A6" s="14" t="n">
        <x:v>16</x:v>
      </x:c>
      <x:c r="B6" s="18" t="n">
        <x:f>'Curve Data'!H38</x:f>
        <x:v>17.86666667</x:v>
      </x:c>
      <x:c r="C6" s="91" t="n">
        <x:f>'Curve Data'!H48</x:f>
        <x:v>3.866666667</x:v>
      </x:c>
    </x:row>
    <x:row r="7">
      <x:c r="A7" s="14" t="n">
        <x:v>24</x:v>
      </x:c>
      <x:c r="B7" s="18" t="n">
        <x:f>'Curve Data'!H39</x:f>
        <x:v>31.46666667</x:v>
      </x:c>
      <x:c r="C7" s="91" t="n">
        <x:f>'Curve Data'!H49</x:f>
        <x:v>7.333333333</x:v>
      </x:c>
    </x:row>
    <x:row r="8">
      <x:c r="A8" s="14" t="n">
        <x:v>32</x:v>
      </x:c>
      <x:c r="B8" s="18" t="n">
        <x:f>'Curve Data'!H40</x:f>
        <x:v>36.93333333</x:v>
      </x:c>
      <x:c r="C8" s="91" t="n">
        <x:f>'Curve Data'!H50</x:f>
        <x:v>7.733333333</x:v>
      </x:c>
    </x:row>
    <x:row r="9">
      <x:c r="A9" s="16" t="n">
        <x:v>40</x:v>
      </x:c>
      <x:c r="B9" s="19" t="n">
        <x:f>'Curve Data'!H41</x:f>
        <x:v>34</x:v>
      </x:c>
      <x:c r="C9" s="92" t="n">
        <x:f>'Curve Data'!H51</x:f>
        <x:v>8.133333333</x:v>
      </x:c>
    </x:row>
    <x:row r="12" ht="32" customHeight="1">
      <x:c r="A12" s="12" t="str">
        <x:v>Clients</x:v>
      </x:c>
      <x:c r="B12" s="13" t="str">
        <x:v>TPC-C low</x:v>
      </x:c>
      <x:c r="C12" s="13" t="str">
        <x:v>TPC-C high</x:v>
      </x:c>
    </x:row>
    <x:row r="13">
      <x:c r="A13" s="14" t="n">
        <x:v>8</x:v>
      </x:c>
      <x:c r="B13" s="18" t="n">
        <x:f>'Curve Data'!M37</x:f>
        <x:v>1365.466667</x:v>
      </x:c>
      <x:c r="C13" s="91" t="n">
        <x:f>'Curve Data'!M47</x:f>
        <x:v>761.0666667</x:v>
      </x:c>
    </x:row>
    <x:row r="14">
      <x:c r="A14" s="14" t="n">
        <x:v>16</x:v>
      </x:c>
      <x:c r="B14" s="18" t="n">
        <x:f>'Curve Data'!M38</x:f>
        <x:v>643.2</x:v>
      </x:c>
      <x:c r="C14" s="91" t="n">
        <x:f>'Curve Data'!M48</x:f>
        <x:v>216.8</x:v>
      </x:c>
    </x:row>
    <x:row r="15">
      <x:c r="A15" s="14" t="n">
        <x:v>24</x:v>
      </x:c>
      <x:c r="B15" s="18" t="n">
        <x:f>'Curve Data'!M39</x:f>
        <x:v>261.8666667</x:v>
      </x:c>
      <x:c r="C15" s="91" t="n">
        <x:f>'Curve Data'!M49</x:f>
        <x:v>71.46666667</x:v>
      </x:c>
    </x:row>
    <x:row r="16">
      <x:c r="A16" s="14" t="n">
        <x:v>32</x:v>
      </x:c>
      <x:c r="B16" s="18" t="n">
        <x:f>'Curve Data'!M40</x:f>
        <x:v>319.4666667</x:v>
      </x:c>
      <x:c r="C16" s="91" t="n">
        <x:f>'Curve Data'!M50</x:f>
        <x:v>66.93333333</x:v>
      </x:c>
    </x:row>
    <x:row r="17">
      <x:c r="A17" s="16" t="n">
        <x:v>40</x:v>
      </x:c>
      <x:c r="B17" s="19" t="n">
        <x:f>'Curve Data'!M41</x:f>
        <x:v>161.7333333</x:v>
      </x:c>
      <x:c r="C17" s="92" t="n">
        <x:f>'Curve Data'!M51</x:f>
        <x:v>56.13333333</x:v>
      </x:c>
    </x:row>
    <x:row r="20" ht="32" customHeight="1">
      <x:c r="A20" s="12" t="str">
        <x:v>Clients</x:v>
      </x:c>
      <x:c r="B20" s="13" t="str">
        <x:v>TPC-C low</x:v>
      </x:c>
      <x:c r="C20" s="13" t="str">
        <x:v>TPC-C high</x:v>
      </x:c>
    </x:row>
    <x:row r="21">
      <x:c r="A21" s="14" t="n">
        <x:v>8</x:v>
      </x:c>
      <x:c r="B21" s="18" t="n">
        <x:f>'Curve Data'!Q37</x:f>
        <x:v>1360</x:v>
      </x:c>
      <x:c r="C21" s="91" t="n">
        <x:f>'Curve Data'!Q47</x:f>
        <x:v>760.1333333</x:v>
      </x:c>
    </x:row>
    <x:row r="22">
      <x:c r="A22" s="14" t="n">
        <x:v>16</x:v>
      </x:c>
      <x:c r="B22" s="18" t="n">
        <x:f>'Curve Data'!Q38</x:f>
        <x:v>625.3333333</x:v>
      </x:c>
      <x:c r="C22" s="91" t="n">
        <x:f>'Curve Data'!Q48</x:f>
        <x:v>212.9333333</x:v>
      </x:c>
    </x:row>
    <x:row r="23">
      <x:c r="A23" s="14" t="n">
        <x:v>24</x:v>
      </x:c>
      <x:c r="B23" s="18" t="n">
        <x:f>'Curve Data'!Q39</x:f>
        <x:v>230.4</x:v>
      </x:c>
      <x:c r="C23" s="91" t="n">
        <x:f>'Curve Data'!Q49</x:f>
        <x:v>64.13333333</x:v>
      </x:c>
    </x:row>
    <x:row r="24">
      <x:c r="A24" s="14" t="n">
        <x:v>32</x:v>
      </x:c>
      <x:c r="B24" s="18" t="n">
        <x:f>'Curve Data'!Q40</x:f>
        <x:v>282.5333333</x:v>
      </x:c>
      <x:c r="C24" s="91" t="n">
        <x:f>'Curve Data'!Q50</x:f>
        <x:v>59.2</x:v>
      </x:c>
    </x:row>
    <x:row r="25">
      <x:c r="A25" s="16" t="n">
        <x:v>40</x:v>
      </x:c>
      <x:c r="B25" s="19" t="n">
        <x:f>'Curve Data'!Q41</x:f>
        <x:v>127.7333333</x:v>
      </x:c>
      <x:c r="C25" s="92" t="n">
        <x:f>'Curve Data'!Q51</x:f>
        <x:v>48</x:v>
      </x:c>
    </x:row>
    <x:row r="28" ht="32" customHeight="1">
      <x:c r="A28" s="12" t="str">
        <x:v>Clients</x:v>
      </x:c>
      <x:c r="B28" s="13" t="str">
        <x:v>TPC-C low</x:v>
      </x:c>
      <x:c r="C28" s="13" t="str">
        <x:v>TPC-C high</x:v>
      </x:c>
    </x:row>
    <x:row r="29">
      <x:c r="A29" s="14" t="n">
        <x:v>8</x:v>
      </x:c>
      <x:c r="B29" s="24" t="n">
        <x:f>'Curve Data'!L37</x:f>
        <x:v>0.9534883722065982</x:v>
      </x:c>
      <x:c r="C29" s="93" t="str">
        <x:f>'Curve Data'!L47</x:f>
      </x:c>
    </x:row>
    <x:row r="30">
      <x:c r="A30" s="14" t="n">
        <x:v>16</x:v>
      </x:c>
      <x:c r="B30" s="24" t="n">
        <x:f>'Curve Data'!L38</x:f>
        <x:v>1</x:v>
      </x:c>
      <x:c r="C30" s="93" t="str">
        <x:f>'Curve Data'!L48</x:f>
      </x:c>
    </x:row>
    <x:row r="31">
      <x:c r="A31" s="14" t="n">
        <x:v>24</x:v>
      </x:c>
      <x:c r="B31" s="24" t="n">
        <x:f>'Curve Data'!L39</x:f>
        <x:v>1.1859296485158202</x:v>
      </x:c>
      <x:c r="C31" s="93" t="str">
        <x:f>'Curve Data'!L49</x:f>
      </x:c>
    </x:row>
    <x:row r="32">
      <x:c r="A32" s="14" t="n">
        <x:v>32</x:v>
      </x:c>
      <x:c r="B32" s="24" t="n">
        <x:f>'Curve Data'!L40</x:f>
        <x:v>0.9172185428876476</x:v>
      </x:c>
      <x:c r="C32" s="93" t="str">
        <x:f>'Curve Data'!L50</x:f>
      </x:c>
    </x:row>
    <x:row r="33">
      <x:c r="A33" s="16" t="n">
        <x:v>40</x:v>
      </x:c>
      <x:c r="B33" s="25" t="n">
        <x:f>'Curve Data'!L41</x:f>
        <x:v>0.7846153846757397</x:v>
      </x:c>
      <x:c r="C33" s="94" t="n">
        <x:f>'Curve Data'!L51</x:f>
        <x:v>61.00000001275</x:v>
      </x:c>
    </x:row>
    <x:row r="36" ht="32" customHeight="1">
      <x:c r="A36" s="12" t="str">
        <x:v>Clients</x:v>
      </x:c>
      <x:c r="B36" s="13" t="str">
        <x:v>TPC-C low</x:v>
      </x:c>
      <x:c r="C36" s="13" t="str">
        <x:v>TPC-C high</x:v>
      </x:c>
    </x:row>
    <x:row r="37">
      <x:c r="A37" s="14" t="n">
        <x:v>8</x:v>
      </x:c>
      <x:c r="B37" s="22" t="n">
        <x:f>'Curve Data'!U37</x:f>
        <x:v>0.2235185185</x:v>
      </x:c>
      <x:c r="C37" s="95" t="n">
        <x:f>'Curve Data'!U47</x:f>
        <x:v>0.439869281</x:v>
      </x:c>
    </x:row>
    <x:row r="38">
      <x:c r="A38" s="14" t="n">
        <x:v>16</x:v>
      </x:c>
      <x:c r="B38" s="22" t="n">
        <x:f>'Curve Data'!U38</x:f>
        <x:v>0.1504643506</x:v>
      </x:c>
      <x:c r="C38" s="95" t="n">
        <x:f>'Curve Data'!U48</x:f>
        <x:v>0.4193258937</x:v>
      </x:c>
    </x:row>
    <x:row r="39">
      <x:c r="A39" s="14" t="n">
        <x:v>24</x:v>
      </x:c>
      <x:c r="B39" s="22" t="n">
        <x:f>'Curve Data'!U39</x:f>
        <x:v>0.1014509148</x:v>
      </x:c>
      <x:c r="C39" s="95" t="n">
        <x:f>'Curve Data'!U49</x:f>
        <x:v>0.3951891799</x:v>
      </x:c>
    </x:row>
    <x:row r="40">
      <x:c r="A40" s="14" t="n">
        <x:v>32</x:v>
      </x:c>
      <x:c r="B40" s="22" t="n">
        <x:f>'Curve Data'!U40</x:f>
        <x:v>0.1174986365</x:v>
      </x:c>
      <x:c r="C40" s="95" t="n">
        <x:f>'Curve Data'!U50</x:f>
        <x:v>0.4559265835</x:v>
      </x:c>
    </x:row>
    <x:row r="41">
      <x:c r="A41" s="16" t="n">
        <x:v>40</x:v>
      </x:c>
      <x:c r="B41" s="23" t="n">
        <x:f>'Curve Data'!U41</x:f>
        <x:v>0.08311608853</x:v>
      </x:c>
      <x:c r="C41" s="96" t="n">
        <x:f>'Curve Data'!U51</x:f>
        <x:v>0.4728981336</x:v>
      </x:c>
    </x:row>
    <x:row r="44" ht="32" customHeight="1">
      <x:c r="A44" s="12" t="str">
        <x:v>Clients</x:v>
      </x:c>
      <x:c r="B44" s="13" t="str">
        <x:v>TPC-C low</x:v>
      </x:c>
      <x:c r="C44" s="13" t="str">
        <x:v>TPC-C high</x:v>
      </x:c>
    </x:row>
    <x:row r="45">
      <x:c r="A45" s="14" t="n">
        <x:v>8</x:v>
      </x:c>
      <x:c r="B45" s="98" t="n">
        <x:f>'Curve Data'!X37</x:f>
        <x:v>5678.406022</x:v>
      </x:c>
      <x:c r="C45" s="99" t="n">
        <x:f>'Curve Data'!X47</x:f>
        <x:v>4980.483333</x:v>
      </x:c>
    </x:row>
    <x:row r="46">
      <x:c r="A46" s="14" t="n">
        <x:v>16</x:v>
      </x:c>
      <x:c r="B46" s="98" t="n">
        <x:f>'Curve Data'!X38</x:f>
        <x:v>5616.244675</x:v>
      </x:c>
      <x:c r="C46" s="99" t="n">
        <x:f>'Curve Data'!X48</x:f>
        <x:v>7006.733112</x:v>
      </x:c>
    </x:row>
    <x:row r="47">
      <x:c r="A47" s="14" t="n">
        <x:v>24</x:v>
      </x:c>
      <x:c r="B47" s="98" t="n">
        <x:f>'Curve Data'!X39</x:f>
        <x:v>4381.911715</x:v>
      </x:c>
      <x:c r="C47" s="99" t="n">
        <x:f>'Curve Data'!X49</x:f>
        <x:v>7718.803797</x:v>
      </x:c>
    </x:row>
    <x:row r="48">
      <x:c r="A48" s="14" t="n">
        <x:v>32</x:v>
      </x:c>
      <x:c r="B48" s="98" t="n">
        <x:f>'Curve Data'!X40</x:f>
        <x:v>5517.719935</x:v>
      </x:c>
      <x:c r="C48" s="99" t="n">
        <x:f>'Curve Data'!X50</x:f>
        <x:v>8904.189717</x:v>
      </x:c>
    </x:row>
    <x:row r="49">
      <x:c r="A49" s="16" t="n">
        <x:v>40</x:v>
      </x:c>
      <x:c r="B49" s="100" t="n">
        <x:f>'Curve Data'!X41</x:f>
        <x:v>4969.388379</x:v>
      </x:c>
      <x:c r="C49" s="101" t="n">
        <x:f>'Curve Data'!X51</x:f>
        <x:v>8612.666871</x:v>
      </x:c>
    </x:row>
    <x:row r="52" ht="32" customHeight="1">
      <x:c r="A52" s="12" t="str">
        <x:v>Clients</x:v>
      </x:c>
      <x:c r="B52" s="13" t="str">
        <x:v>TPC-C low</x:v>
      </x:c>
      <x:c r="C52" s="13" t="str">
        <x:v>TPC-C high</x:v>
      </x:c>
    </x:row>
    <x:row r="53">
      <x:c r="A53" s="14" t="n">
        <x:v>8</x:v>
      </x:c>
      <x:c r="B53" s="103" t="n">
        <x:f>'Curve Data'!AA37</x:f>
        <x:v>150896.4381</x:v>
      </x:c>
      <x:c r="C53" s="104" t="n">
        <x:f>'Curve Data'!AA47</x:f>
        <x:v>114598.0318</x:v>
      </x:c>
    </x:row>
    <x:row r="54">
      <x:c r="A54" s="14" t="n">
        <x:v>16</x:v>
      </x:c>
      <x:c r="B54" s="103" t="n">
        <x:f>'Curve Data'!AA38</x:f>
        <x:v>131823.0877</x:v>
      </x:c>
      <x:c r="C54" s="104" t="n">
        <x:f>'Curve Data'!AA48</x:f>
        <x:v>182307.0073</x:v>
      </x:c>
    </x:row>
    <x:row r="55">
      <x:c r="A55" s="14" t="n">
        <x:v>24</x:v>
      </x:c>
      <x:c r="B55" s="103" t="n">
        <x:f>'Curve Data'!AA39</x:f>
        <x:v>126280.6507</x:v>
      </x:c>
      <x:c r="C55" s="104" t="n">
        <x:f>'Curve Data'!AA49</x:f>
        <x:v>190793.1756</x:v>
      </x:c>
    </x:row>
    <x:row r="56">
      <x:c r="A56" s="14" t="n">
        <x:v>32</x:v>
      </x:c>
      <x:c r="B56" s="103" t="n">
        <x:f>'Curve Data'!AA40</x:f>
        <x:v>127141.6814</x:v>
      </x:c>
      <x:c r="C56" s="104" t="n">
        <x:f>'Curve Data'!AA50</x:f>
        <x:v>214578.348</x:v>
      </x:c>
    </x:row>
    <x:row r="57">
      <x:c r="A57" s="16" t="n">
        <x:v>40</x:v>
      </x:c>
      <x:c r="B57" s="105" t="n">
        <x:f>'Curve Data'!AA41</x:f>
        <x:v>125309.975</x:v>
      </x:c>
      <x:c r="C57" s="106" t="n">
        <x:f>'Curve Data'!AA51</x:f>
        <x:v>212549.4446</x:v>
      </x:c>
    </x:row>
  </x:sheetData>
  <x:mergeCells>
    <x:mergeCell ref="A1:W1"/>
    <x:mergeCell ref="A2:W2"/>
  </x:mergeCells>
  <x:pageMargins left="0.7" right="0.7" top="0.75" bottom="0.75" header="0.3" footer="0.3"/>
  <x:drawing xmlns:r="http://schemas.openxmlformats.org/officeDocument/2006/relationships" r:id="R249df56c37ae4277"/>
</x:worksheet>
</file>